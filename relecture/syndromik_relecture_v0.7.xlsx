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Synthèse" sheetId="2" state="visible" r:id="rId4"/>
    <sheet name="À valider" sheetId="3" state="visible" r:id="rId5"/>
    <sheet name="Signes" sheetId="4" state="visible" r:id="rId6"/>
    <sheet name="Syndromes" sheetId="5" state="visible" r:id="rId7"/>
    <sheet name="Pathologies" sheetId="6" state="visible" r:id="rId8"/>
    <sheet name="Spécialités" sheetId="7" state="visible" r:id="rId9"/>
  </sheets>
  <definedNames>
    <definedName function="false" hidden="true" localSheetId="2" name="_xlnm._FilterDatabase" vbProcedure="false">'À valider'!$A$1:$F$1</definedName>
    <definedName function="false" hidden="true" localSheetId="5" name="_xlnm._FilterDatabase" vbProcedure="false">Pathologies!$A$1:$I$1</definedName>
    <definedName function="false" hidden="true" localSheetId="3" name="_xlnm._FilterDatabase" vbProcedure="false">Signes!$A$1:$G$1</definedName>
    <definedName function="false" hidden="true" localSheetId="6" name="_xlnm._FilterDatabase" vbProcedure="false">Spécialités!$A$1:$G$1</definedName>
    <definedName function="false" hidden="true" localSheetId="4" name="_xlnm._FilterDatabase" vbProcedure="false">Syndromes!$A$1:$H$1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<sst xmlns="http://schemas.openxmlformats.org/spreadsheetml/2006/main" count="1143" uniqueCount="885">
  <si>
    <t xml:space="preserve">Syndromik — relecture médicale de la base v0.7</t>
  </si>
  <si>
    <t xml:space="preserve">Objectif</t>
  </si>
  <si>
    <t xml:space="preserve">Vérifier que le contenu est conforme aux protocoles nationaux ivoiriens avant tout usage réel de l'application.</t>
  </si>
  <si>
    <t xml:space="preserve">Par où commencer</t>
  </si>
  <si>
    <t xml:space="preserve">Feuille « À valider » : ajouts proposés non relus (12 signes et 23 liens). Ensuite, si possible, les feuilles par type (contenu existant).</t>
  </si>
  <si>
    <t xml:space="preserve">Cellules à remplir</t>
  </si>
  <si>
    <t xml:space="preserve">Uniquement les colonnes sur fond jaune pâle : « Décision » et « Commentaire ».</t>
  </si>
  <si>
    <t xml:space="preserve">Décision</t>
  </si>
  <si>
    <t xml:space="preserve">Oui = correct tel quel · Non = à supprimer · À modifier = préciser la correction dans « Commentaire ».</t>
  </si>
  <si>
    <t xml:space="preserve">Urgence</t>
  </si>
  <si>
    <t xml:space="preserve">Feuille « Pathologies » : vérifier le niveau d'urgence ; en cas de désaccord, choisir « À modifier » et indiquer le bon niveau (Vitale, Élevée, Modérée, Faible).</t>
  </si>
  <si>
    <t xml:space="preserve">[à valider]</t>
  </si>
  <si>
    <t xml:space="preserve">Dans les listes de liens, ce repère signale un lien ajouté et non encore relu.</t>
  </si>
  <si>
    <t xml:space="preserve">Avancement</t>
  </si>
  <si>
    <t xml:space="preserve">Feuille « Synthèse » : se met à jour automatiquement.</t>
  </si>
  <si>
    <t xml:space="preserve">Ne pas modifier</t>
  </si>
  <si>
    <t xml:space="preserve">Les colonnes ID, Nom, Description, etc. (sauf demande explicite). Les corrections passent par « Commentaire ».</t>
  </si>
  <si>
    <t xml:space="preserve">Exemple de ligne remplie</t>
  </si>
  <si>
    <t xml:space="preserve">Type</t>
  </si>
  <si>
    <t xml:space="preserve">Lien</t>
  </si>
  <si>
    <t xml:space="preserve">Élément</t>
  </si>
  <si>
    <t xml:space="preserve">Fièvre → Syndrome ictérique</t>
  </si>
  <si>
    <t xml:space="preserve">Détail</t>
  </si>
  <si>
    <t xml:space="preserve">Le signe « Fièvre » est ajouté au syndrome « Syndrome ictérique ».</t>
  </si>
  <si>
    <t xml:space="preserve">À modifier</t>
  </si>
  <si>
    <t xml:space="preserve">Commentaire</t>
  </si>
  <si>
    <t xml:space="preserve">Fièvre présente dans le palu, la leptospirose et la fièvre jaune, mais pas dans l'ictère néonatal : OK pour le lien, à nuancer dans la description.</t>
  </si>
  <si>
    <t xml:space="preserve">Source</t>
  </si>
  <si>
    <t xml:space="preserve">Généré automatiquement depuis data/syndromik_data.json (version 0.7) par relecture/generer_tableur.py.</t>
  </si>
  <si>
    <t xml:space="preserve">Avancement de la relecture</t>
  </si>
  <si>
    <t xml:space="preserve">Feuille</t>
  </si>
  <si>
    <t xml:space="preserve">Éléments</t>
  </si>
  <si>
    <t xml:space="preserve">Oui</t>
  </si>
  <si>
    <t xml:space="preserve">Non</t>
  </si>
  <si>
    <t xml:space="preserve">Restants</t>
  </si>
  <si>
    <t xml:space="preserve">À valider</t>
  </si>
  <si>
    <t xml:space="preserve">Signes</t>
  </si>
  <si>
    <t xml:space="preserve">Syndromes</t>
  </si>
  <si>
    <t xml:space="preserve">Pathologies</t>
  </si>
  <si>
    <t xml:space="preserve">Spécialités</t>
  </si>
  <si>
    <t xml:space="preserve">Total</t>
  </si>
  <si>
    <t xml:space="preserve">Calculé à partir des colonnes « Décision » de chaque feuille.</t>
  </si>
  <si>
    <t xml:space="preserve">ID</t>
  </si>
  <si>
    <t xml:space="preserve">Nouveau signe</t>
  </si>
  <si>
    <t xml:space="preserve">sig_diarrhee_sanglante</t>
  </si>
  <si>
    <t xml:space="preserve">Diarrhée sanglante</t>
  </si>
  <si>
    <t xml:space="preserve">Selles liquides contenant du sang, souvent avec glaires et douleurs abdominales. Évoque une infection invasive (amibiase, shigellose).
Synonymes : dysenterie, selles avec du sang, glaires et sang</t>
  </si>
  <si>
    <t xml:space="preserve">sig_constipation</t>
  </si>
  <si>
    <t xml:space="preserve">Constipation</t>
  </si>
  <si>
    <t xml:space="preserve">Émission de selles rares ou difficiles. Peut accompagner une fièvre prolongée (fièvre typhoïde au début).
Synonymes : selles rares, ventre bloqué</t>
  </si>
  <si>
    <t xml:space="preserve">sig_fontanelle_bombee</t>
  </si>
  <si>
    <t xml:space="preserve">Fontanelle bombée</t>
  </si>
  <si>
    <t xml:space="preserve">Fontanelle antérieure tendue et saillante chez le nourrisson. Signe d'hypertension intracrânienne, évocateur de méningite.
Synonymes : fontanelle tendue, fontanelle gonflée</t>
  </si>
  <si>
    <t xml:space="preserve">sig_choc</t>
  </si>
  <si>
    <t xml:space="preserve">État de choc</t>
  </si>
  <si>
    <t xml:space="preserve">Défaillance circulatoire : extrémités froides, pouls faible et rapide, temps de recoloration allongé, tension basse. Urgence vitale.
Synonymes : collapsus, extrémités froides, pouls filant, hypotension</t>
  </si>
  <si>
    <t xml:space="preserve">sig_petechies</t>
  </si>
  <si>
    <t xml:space="preserve">Pétéchies</t>
  </si>
  <si>
    <t xml:space="preserve">Petites taches rouges ou violacées qui ne s'effacent pas à la pression. Traduisent un saignement sous la peau.
Synonymes : purpura, petites taches rouges</t>
  </si>
  <si>
    <t xml:space="preserve">sig_urines_foncees</t>
  </si>
  <si>
    <t xml:space="preserve">Urines foncées</t>
  </si>
  <si>
    <t xml:space="preserve">Urines de couleur foncée (thé, coca). Accompagnent souvent un ictère d'origine hépatique ou une hémolyse.
Synonymes : urines couleur coca, urines brunes</t>
  </si>
  <si>
    <t xml:space="preserve">sig_selles_decolorees</t>
  </si>
  <si>
    <t xml:space="preserve">Selles décolorées</t>
  </si>
  <si>
    <t xml:space="preserve">Selles pâles ou blanchâtres, signe d'un défaut d'écoulement de la bile.
Synonymes : selles blanches, selles mastic</t>
  </si>
  <si>
    <t xml:space="preserve">sig_douleur_hcd</t>
  </si>
  <si>
    <t xml:space="preserve">Douleur de l'hypochondre droit</t>
  </si>
  <si>
    <t xml:space="preserve">Douleur sous les côtes à droite, en regard du foie. Évoque une atteinte hépatique ou biliaire (hépatite, abcès amibien).
Synonymes : douleur du foie, douleur sous les côtes à droite</t>
  </si>
  <si>
    <t xml:space="preserve">sig_tachycardie</t>
  </si>
  <si>
    <t xml:space="preserve">Tachycardie</t>
  </si>
  <si>
    <t xml:space="preserve">Fréquence cardiaque élevée pour l'âge. Peut traduire une fièvre, une anémie, une déshydratation ou un choc.
Synonymes : cœur rapide, palpitations</t>
  </si>
  <si>
    <t xml:space="preserve">sig_douleur_retro_orbitaire</t>
  </si>
  <si>
    <t xml:space="preserve">Douleur rétro-orbitaire</t>
  </si>
  <si>
    <t xml:space="preserve">Douleur ressentie derrière les yeux, augmentée par les mouvements oculaires. Évocatrice de la dengue.
Synonymes : douleur derrière les yeux, mal derrière les yeux</t>
  </si>
  <si>
    <t xml:space="preserve">sig_gonflement_articulaire</t>
  </si>
  <si>
    <t xml:space="preserve">Gonflement articulaire</t>
  </si>
  <si>
    <t xml:space="preserve">Articulation gonflée, parfois chaude et douloureuse. Évoque une arthrite (chikungunya, RAA, drépanocytose).
Synonymes : arthrite, articulation enflée</t>
  </si>
  <si>
    <t xml:space="preserve">sig_pollakiurie</t>
  </si>
  <si>
    <t xml:space="preserve">Envies fréquentes d'uriner</t>
  </si>
  <si>
    <t xml:space="preserve">Besoin d'uriner fréquemment, en petites quantités. Signe d'irritation des voies urinaires.
Synonymes : pollakiurie, uriner souvent</t>
  </si>
  <si>
    <t xml:space="preserve">sig_fievre → syn_digestif</t>
  </si>
  <si>
    <t xml:space="preserve">Fièvre → Syndrome digestif fébrile</t>
  </si>
  <si>
    <t xml:space="preserve">Le signe « Fièvre » est ajouté au syndrome « Syndrome digestif fébrile ».</t>
  </si>
  <si>
    <t xml:space="preserve">sig_diarrhee_sanglante → syn_digestif</t>
  </si>
  <si>
    <t xml:space="preserve">Diarrhée sanglante → Syndrome digestif fébrile</t>
  </si>
  <si>
    <t xml:space="preserve">Le signe « Diarrhée sanglante » est ajouté au syndrome « Syndrome digestif fébrile ».</t>
  </si>
  <si>
    <t xml:space="preserve">sig_constipation → syn_digestif</t>
  </si>
  <si>
    <t xml:space="preserve">Constipation → Syndrome digestif fébrile</t>
  </si>
  <si>
    <t xml:space="preserve">Le signe « Constipation » est ajouté au syndrome « Syndrome digestif fébrile ».</t>
  </si>
  <si>
    <t xml:space="preserve">sig_raideur_nuque → syn_neuro_febrile</t>
  </si>
  <si>
    <t xml:space="preserve">Raideur de nuque → Syndrome neurologique fébrile</t>
  </si>
  <si>
    <t xml:space="preserve">Le signe « Raideur de nuque » est ajouté au syndrome « Syndrome neurologique fébrile ».</t>
  </si>
  <si>
    <t xml:space="preserve">sig_cephalees → syn_neuro_febrile</t>
  </si>
  <si>
    <t xml:space="preserve">Céphalées → Syndrome neurologique fébrile</t>
  </si>
  <si>
    <t xml:space="preserve">Le signe « Céphalées » est ajouté au syndrome « Syndrome neurologique fébrile ».</t>
  </si>
  <si>
    <t xml:space="preserve">sig_fontanelle_bombee → syn_neuro_febrile</t>
  </si>
  <si>
    <t xml:space="preserve">Fontanelle bombée → Syndrome neurologique fébrile</t>
  </si>
  <si>
    <t xml:space="preserve">Le signe « Fontanelle bombée » est ajouté au syndrome « Syndrome neurologique fébrile ».</t>
  </si>
  <si>
    <t xml:space="preserve">sig_fievre → syn_hemorragique</t>
  </si>
  <si>
    <t xml:space="preserve">Fièvre → Syndrome hémorragique</t>
  </si>
  <si>
    <t xml:space="preserve">Le signe « Fièvre » est ajouté au syndrome « Syndrome hémorragique ».</t>
  </si>
  <si>
    <t xml:space="preserve">sig_ictere → syn_hemorragique</t>
  </si>
  <si>
    <t xml:space="preserve">Ictère → Syndrome hémorragique</t>
  </si>
  <si>
    <t xml:space="preserve">Le signe « Ictère » est ajouté au syndrome « Syndrome hémorragique ».</t>
  </si>
  <si>
    <t xml:space="preserve">sig_choc → syn_hemorragique</t>
  </si>
  <si>
    <t xml:space="preserve">État de choc → Syndrome hémorragique</t>
  </si>
  <si>
    <t xml:space="preserve">Le signe « État de choc » est ajouté au syndrome « Syndrome hémorragique ».</t>
  </si>
  <si>
    <t xml:space="preserve">sig_petechies → syn_hemorragique</t>
  </si>
  <si>
    <t xml:space="preserve">Pétéchies → Syndrome hémorragique</t>
  </si>
  <si>
    <t xml:space="preserve">Le signe « Pétéchies » est ajouté au syndrome « Syndrome hémorragique ».</t>
  </si>
  <si>
    <t xml:space="preserve">sig_fievre → syn_ictere</t>
  </si>
  <si>
    <t xml:space="preserve">sig_urines_foncees → syn_ictere</t>
  </si>
  <si>
    <t xml:space="preserve">Urines foncées → Syndrome ictérique</t>
  </si>
  <si>
    <t xml:space="preserve">Le signe « Urines foncées » est ajouté au syndrome « Syndrome ictérique ».</t>
  </si>
  <si>
    <t xml:space="preserve">sig_selles_decolorees → syn_ictere</t>
  </si>
  <si>
    <t xml:space="preserve">Selles décolorées → Syndrome ictérique</t>
  </si>
  <si>
    <t xml:space="preserve">Le signe « Selles décolorées » est ajouté au syndrome « Syndrome ictérique ».</t>
  </si>
  <si>
    <t xml:space="preserve">sig_douleur_hcd → syn_ictere</t>
  </si>
  <si>
    <t xml:space="preserve">Douleur de l'hypochondre droit → Syndrome ictérique</t>
  </si>
  <si>
    <t xml:space="preserve">Le signe « Douleur de l'hypochondre droit » est ajouté au syndrome « Syndrome ictérique ».</t>
  </si>
  <si>
    <t xml:space="preserve">sig_dyspnee → syn_anemique</t>
  </si>
  <si>
    <t xml:space="preserve">Dyspnée → Syndrome anémique</t>
  </si>
  <si>
    <t xml:space="preserve">Le signe « Dyspnée » est ajouté au syndrome « Syndrome anémique ».</t>
  </si>
  <si>
    <t xml:space="preserve">sig_tachycardie → syn_anemique</t>
  </si>
  <si>
    <t xml:space="preserve">Tachycardie → Syndrome anémique</t>
  </si>
  <si>
    <t xml:space="preserve">Le signe « Tachycardie » est ajouté au syndrome « Syndrome anémique ».</t>
  </si>
  <si>
    <t xml:space="preserve">sig_ictere → syn_anemique</t>
  </si>
  <si>
    <t xml:space="preserve">Ictère → Syndrome anémique</t>
  </si>
  <si>
    <t xml:space="preserve">Le signe « Ictère » est ajouté au syndrome « Syndrome anémique ».</t>
  </si>
  <si>
    <t xml:space="preserve">sig_fievre → syn_algique</t>
  </si>
  <si>
    <t xml:space="preserve">Fièvre → Syndrome algique diffus</t>
  </si>
  <si>
    <t xml:space="preserve">Le signe « Fièvre » est ajouté au syndrome « Syndrome algique diffus ».</t>
  </si>
  <si>
    <t xml:space="preserve">sig_douleur_retro_orbitaire → syn_algique</t>
  </si>
  <si>
    <t xml:space="preserve">Douleur rétro-orbitaire → Syndrome algique diffus</t>
  </si>
  <si>
    <t xml:space="preserve">Le signe « Douleur rétro-orbitaire » est ajouté au syndrome « Syndrome algique diffus ».</t>
  </si>
  <si>
    <t xml:space="preserve">sig_gonflement_articulaire → syn_algique</t>
  </si>
  <si>
    <t xml:space="preserve">Gonflement articulaire → Syndrome algique diffus</t>
  </si>
  <si>
    <t xml:space="preserve">Le signe « Gonflement articulaire » est ajouté au syndrome « Syndrome algique diffus ».</t>
  </si>
  <si>
    <t xml:space="preserve">sig_brulures_miction → syn_urinaire</t>
  </si>
  <si>
    <t xml:space="preserve">Brûlures mictionnelles → Syndrome urinaire</t>
  </si>
  <si>
    <t xml:space="preserve">Le signe « Brûlures mictionnelles » est ajouté au syndrome « Syndrome urinaire ».</t>
  </si>
  <si>
    <t xml:space="preserve">sig_pollakiurie → syn_urinaire</t>
  </si>
  <si>
    <t xml:space="preserve">Envies fréquentes d'uriner → Syndrome urinaire</t>
  </si>
  <si>
    <t xml:space="preserve">Le signe « Envies fréquentes d'uriner » est ajouté au syndrome « Syndrome urinaire ».</t>
  </si>
  <si>
    <t xml:space="preserve">sig_conjonctivite → syn_oculaire</t>
  </si>
  <si>
    <t xml:space="preserve">Œil rouge → Syndrome oculaire</t>
  </si>
  <si>
    <t xml:space="preserve">Le signe « Œil rouge » est ajouté au syndrome « Syndrome oculaire ».</t>
  </si>
  <si>
    <t xml:space="preserve">Nom</t>
  </si>
  <si>
    <t xml:space="preserve">Synonymes</t>
  </si>
  <si>
    <t xml:space="preserve">Description</t>
  </si>
  <si>
    <t xml:space="preserve">Syndromes liés</t>
  </si>
  <si>
    <t xml:space="preserve">sig_adenopathies</t>
  </si>
  <si>
    <t xml:space="preserve">Adénopathies</t>
  </si>
  <si>
    <t xml:space="preserve">ganglions gonflés, ganglions</t>
  </si>
  <si>
    <t xml:space="preserve">Ganglions augmentés de volume (cou, aisselles, aine).</t>
  </si>
  <si>
    <t xml:space="preserve">Syndrome d'immunodépression
Syndrome lymphatique</t>
  </si>
  <si>
    <t xml:space="preserve">sig_amaigrissement</t>
  </si>
  <si>
    <t xml:space="preserve">Amaigrissement</t>
  </si>
  <si>
    <t xml:space="preserve">perte de poids, maigreur</t>
  </si>
  <si>
    <t xml:space="preserve">Perte de poids involontaire.</t>
  </si>
  <si>
    <t xml:space="preserve">Syndrome d'altération de l'état général
Syndrome d'immunodépression
Syndrome de malnutrition
Syndrome respiratoire chronique</t>
  </si>
  <si>
    <t xml:space="preserve">sig_anorexie</t>
  </si>
  <si>
    <t xml:space="preserve">Anorexie</t>
  </si>
  <si>
    <t xml:space="preserve">perte d'appétit</t>
  </si>
  <si>
    <t xml:space="preserve">Perte de l'appétit.</t>
  </si>
  <si>
    <t xml:space="preserve">Syndrome d'altération de l'état général
Syndrome de malnutrition</t>
  </si>
  <si>
    <t xml:space="preserve">sig_arthralgies</t>
  </si>
  <si>
    <t xml:space="preserve">Arthralgies</t>
  </si>
  <si>
    <t xml:space="preserve">douleurs articulaires</t>
  </si>
  <si>
    <t xml:space="preserve">Douleurs au niveau des articulations.</t>
  </si>
  <si>
    <t xml:space="preserve">Syndrome algique diffus</t>
  </si>
  <si>
    <t xml:space="preserve">sig_asthenie</t>
  </si>
  <si>
    <t xml:space="preserve">Asthénie</t>
  </si>
  <si>
    <t xml:space="preserve">fatigue, faiblesse</t>
  </si>
  <si>
    <t xml:space="preserve">Fatigue générale intense.</t>
  </si>
  <si>
    <t xml:space="preserve">Syndrome anémique
Syndrome d'altération de l'état général
Syndrome fébrile</t>
  </si>
  <si>
    <t xml:space="preserve">sig_baisse_vue</t>
  </si>
  <si>
    <t xml:space="preserve">Baisse de la vue</t>
  </si>
  <si>
    <t xml:space="preserve">cécité, perte de vision</t>
  </si>
  <si>
    <t xml:space="preserve">Diminution de la vision, pouvant aller jusqu'à la cécité.</t>
  </si>
  <si>
    <t xml:space="preserve">Syndrome oculaire</t>
  </si>
  <si>
    <t xml:space="preserve">sig_brulures_miction</t>
  </si>
  <si>
    <t xml:space="preserve">Brûlures mictionnelles</t>
  </si>
  <si>
    <t xml:space="preserve">dysurie, brûlures en urinant</t>
  </si>
  <si>
    <t xml:space="preserve">Sensation de brûlure en urinant.</t>
  </si>
  <si>
    <t xml:space="preserve">Syndrome d'IST (uro-génital)
Syndrome urinaire [à valider]</t>
  </si>
  <si>
    <t xml:space="preserve">Constipation [à valider]</t>
  </si>
  <si>
    <t xml:space="preserve">selles rares, ventre bloqué</t>
  </si>
  <si>
    <t xml:space="preserve">Émission de selles rares ou difficiles. Peut accompagner une fièvre prolongée (fièvre typhoïde au début).</t>
  </si>
  <si>
    <t xml:space="preserve">Syndrome digestif fébrile [à valider]</t>
  </si>
  <si>
    <t xml:space="preserve">sig_contractures</t>
  </si>
  <si>
    <t xml:space="preserve">Contractures musculaires</t>
  </si>
  <si>
    <t xml:space="preserve">spasmes, raideur musculaire</t>
  </si>
  <si>
    <t xml:space="preserve">Raideur et contractions musculaires soutenues.</t>
  </si>
  <si>
    <t xml:space="preserve">Syndrome de spasmes musculaires</t>
  </si>
  <si>
    <t xml:space="preserve">sig_convulsions</t>
  </si>
  <si>
    <t xml:space="preserve">Convulsions</t>
  </si>
  <si>
    <t xml:space="preserve">crises</t>
  </si>
  <si>
    <t xml:space="preserve">Contractions musculaires involontaires, souvent avec perte de connaissance.</t>
  </si>
  <si>
    <t xml:space="preserve">Syndrome de spasmes musculaires
Syndrome neurologique fébrile</t>
  </si>
  <si>
    <t xml:space="preserve">sig_croutes</t>
  </si>
  <si>
    <t xml:space="preserve">Croûtes cutanées</t>
  </si>
  <si>
    <t xml:space="preserve">lésions croûteuses</t>
  </si>
  <si>
    <t xml:space="preserve">Lésions de la peau recouvertes de croûtes (par exemple couleur miel dans l'impétigo).</t>
  </si>
  <si>
    <t xml:space="preserve">Syndrome de dermatose localisée</t>
  </si>
  <si>
    <t xml:space="preserve">sig_cephalees</t>
  </si>
  <si>
    <t xml:space="preserve">Céphalées</t>
  </si>
  <si>
    <t xml:space="preserve">maux de tête, mal de tête</t>
  </si>
  <si>
    <t xml:space="preserve">Douleurs de la tête.</t>
  </si>
  <si>
    <t xml:space="preserve">Syndrome algique diffus
Syndrome fébrile
Syndrome méningé
Syndrome neurologique fébrile [à valider]</t>
  </si>
  <si>
    <t xml:space="preserve">sig_diarrhee</t>
  </si>
  <si>
    <t xml:space="preserve">Diarrhée</t>
  </si>
  <si>
    <t xml:space="preserve">selles liquides</t>
  </si>
  <si>
    <t xml:space="preserve">Selles liquides et fréquentes.</t>
  </si>
  <si>
    <t xml:space="preserve">Syndrome d'immunodépression
Syndrome de déshydratation
Syndrome digestif fébrile</t>
  </si>
  <si>
    <t xml:space="preserve">Diarrhée sanglante [à valider]</t>
  </si>
  <si>
    <t xml:space="preserve">dysenterie, selles avec du sang, glaires et sang</t>
  </si>
  <si>
    <t xml:space="preserve">Selles liquides contenant du sang, souvent avec glaires et douleurs abdominales. Évoque une infection invasive (amibiase, shigellose).</t>
  </si>
  <si>
    <t xml:space="preserve">sig_douleur_abdo</t>
  </si>
  <si>
    <t xml:space="preserve">Douleur abdominale</t>
  </si>
  <si>
    <t xml:space="preserve">mal au ventre</t>
  </si>
  <si>
    <t xml:space="preserve">Douleur au niveau du ventre.</t>
  </si>
  <si>
    <t xml:space="preserve">Syndrome digestif fébrile
Syndrome urinaire</t>
  </si>
  <si>
    <t xml:space="preserve">Douleur de l'hypochondre droit [à valider]</t>
  </si>
  <si>
    <t xml:space="preserve">douleur du foie, douleur sous les côtes à droite</t>
  </si>
  <si>
    <t xml:space="preserve">Douleur sous les côtes à droite, en regard du foie. Évoque une atteinte hépatique ou biliaire (hépatite, abcès amibien).</t>
  </si>
  <si>
    <t xml:space="preserve">Syndrome ictérique [à valider]</t>
  </si>
  <si>
    <t xml:space="preserve">Douleur rétro-orbitaire [à valider]</t>
  </si>
  <si>
    <t xml:space="preserve">douleur derrière les yeux, mal derrière les yeux</t>
  </si>
  <si>
    <t xml:space="preserve">Douleur ressentie derrière les yeux, augmentée par les mouvements oculaires. Évocatrice de la dengue.</t>
  </si>
  <si>
    <t xml:space="preserve">Syndrome algique diffus [à valider]</t>
  </si>
  <si>
    <t xml:space="preserve">sig_dyspnee</t>
  </si>
  <si>
    <t xml:space="preserve">Dyspnée</t>
  </si>
  <si>
    <t xml:space="preserve">essoufflement, difficulté à respirer</t>
  </si>
  <si>
    <t xml:space="preserve">Difficulté à respirer, essoufflement.</t>
  </si>
  <si>
    <t xml:space="preserve">Syndrome anémique [à valider]
Syndrome de souffrance du nouveau-né
Syndrome laryngé
Syndrome respiratoire aigu</t>
  </si>
  <si>
    <t xml:space="preserve">Envies fréquentes d'uriner [à valider]</t>
  </si>
  <si>
    <t xml:space="preserve">pollakiurie, uriner souvent</t>
  </si>
  <si>
    <t xml:space="preserve">Besoin d'uriner fréquemment, en petites quantités. Signe d'irritation des voies urinaires.</t>
  </si>
  <si>
    <t xml:space="preserve">Syndrome urinaire [à valider]</t>
  </si>
  <si>
    <t xml:space="preserve">sig_fievre</t>
  </si>
  <si>
    <t xml:space="preserve">Fièvre</t>
  </si>
  <si>
    <t xml:space="preserve">hyperthermie, corps chaud, chaleur</t>
  </si>
  <si>
    <t xml:space="preserve">Élévation de la température du corps au-dessus de 38 °C.</t>
  </si>
  <si>
    <t xml:space="preserve">Syndrome ORL douloureux
Syndrome algique diffus [à valider]
Syndrome de paralysie flasque
Syndrome digestif fébrile [à valider]
Syndrome fébrile
Syndrome hémorragique [à valider]
Syndrome ictérique [à valider]
Syndrome neurologique fébrile
Syndrome parotidien
Syndrome respiratoire aigu
Syndrome éruptif fébrile</t>
  </si>
  <si>
    <t xml:space="preserve">Fontanelle bombée [à valider]</t>
  </si>
  <si>
    <t xml:space="preserve">fontanelle tendue, fontanelle gonflée</t>
  </si>
  <si>
    <t xml:space="preserve">Fontanelle antérieure tendue et saillante chez le nourrisson. Signe d'hypertension intracrânienne, évocateur de méningite.</t>
  </si>
  <si>
    <t xml:space="preserve">Syndrome neurologique fébrile [à valider]</t>
  </si>
  <si>
    <t xml:space="preserve">sig_frissons</t>
  </si>
  <si>
    <t xml:space="preserve">Frissons</t>
  </si>
  <si>
    <t xml:space="preserve">tremblements de froid</t>
  </si>
  <si>
    <t xml:space="preserve">Sensation de froid avec tremblements, souvent juste avant une montée de fièvre.</t>
  </si>
  <si>
    <t xml:space="preserve">Syndrome fébrile</t>
  </si>
  <si>
    <t xml:space="preserve">Gonflement articulaire [à valider]</t>
  </si>
  <si>
    <t xml:space="preserve">arthrite, articulation enflée</t>
  </si>
  <si>
    <t xml:space="preserve">Articulation gonflée, parfois chaude et douloureuse. Évoque une arthrite (chikungunya, RAA, drépanocytose).</t>
  </si>
  <si>
    <t xml:space="preserve">sig_tumefaction_parotide</t>
  </si>
  <si>
    <t xml:space="preserve">Gonflement des joues</t>
  </si>
  <si>
    <t xml:space="preserve">parotidite, joues gonflées</t>
  </si>
  <si>
    <t xml:space="preserve">Gonflement douloureux des glandes salivaires (parotides), devant les oreilles.</t>
  </si>
  <si>
    <t xml:space="preserve">Syndrome parotidien</t>
  </si>
  <si>
    <t xml:space="preserve">sig_hydrophobie</t>
  </si>
  <si>
    <t xml:space="preserve">Hydrophobie</t>
  </si>
  <si>
    <t xml:space="preserve">peur de l'eau</t>
  </si>
  <si>
    <t xml:space="preserve">Impossibilité de boire, la vue de l'eau déclenchant des spasmes.</t>
  </si>
  <si>
    <t xml:space="preserve">Syndrome neuro-comportemental</t>
  </si>
  <si>
    <t xml:space="preserve">sig_hypothermie</t>
  </si>
  <si>
    <t xml:space="preserve">Hypothermie</t>
  </si>
  <si>
    <t xml:space="preserve">température basse, corps froid</t>
  </si>
  <si>
    <t xml:space="preserve">Température du corps anormalement basse ; signe de gravité chez le nouveau-né.</t>
  </si>
  <si>
    <t xml:space="preserve">Syndrome de souffrance du nouveau-né</t>
  </si>
  <si>
    <t xml:space="preserve">sig_hematurie</t>
  </si>
  <si>
    <t xml:space="preserve">Hématurie</t>
  </si>
  <si>
    <t xml:space="preserve">sang dans les urines, urines rouges</t>
  </si>
  <si>
    <t xml:space="preserve">Présence de sang dans les urines.</t>
  </si>
  <si>
    <t xml:space="preserve">Syndrome urinaire</t>
  </si>
  <si>
    <t xml:space="preserve">sig_hemoptysie</t>
  </si>
  <si>
    <t xml:space="preserve">Hémoptysie</t>
  </si>
  <si>
    <t xml:space="preserve">crachats de sang</t>
  </si>
  <si>
    <t xml:space="preserve">Crachats contenant du sang.</t>
  </si>
  <si>
    <t xml:space="preserve">Syndrome respiratoire chronique</t>
  </si>
  <si>
    <t xml:space="preserve">sig_hepatomegalie</t>
  </si>
  <si>
    <t xml:space="preserve">Hépatomégalie</t>
  </si>
  <si>
    <t xml:space="preserve">gros foie</t>
  </si>
  <si>
    <t xml:space="preserve">Augmentation du volume du foie, palpable sous les côtes droites.</t>
  </si>
  <si>
    <t xml:space="preserve">Syndrome ictérique</t>
  </si>
  <si>
    <t xml:space="preserve">sig_ictere</t>
  </si>
  <si>
    <t xml:space="preserve">Ictère</t>
  </si>
  <si>
    <t xml:space="preserve">jaunisse, yeux jaunes</t>
  </si>
  <si>
    <t xml:space="preserve">Coloration jaune de la peau et du blanc des yeux.</t>
  </si>
  <si>
    <t xml:space="preserve">Syndrome anémique [à valider]
Syndrome hémorragique [à valider]
Syndrome ictérique</t>
  </si>
  <si>
    <t xml:space="preserve">sig_lymphoedeme</t>
  </si>
  <si>
    <t xml:space="preserve">Lymphœdème</t>
  </si>
  <si>
    <t xml:space="preserve">gros membre, éléphantiasis</t>
  </si>
  <si>
    <t xml:space="preserve">Gonflement d'un membre par accumulation de lymphe.</t>
  </si>
  <si>
    <t xml:space="preserve">Syndrome lymphatique</t>
  </si>
  <si>
    <t xml:space="preserve">sig_angine</t>
  </si>
  <si>
    <t xml:space="preserve">Mal de gorge</t>
  </si>
  <si>
    <t xml:space="preserve">angine, douleur de gorge</t>
  </si>
  <si>
    <t xml:space="preserve">Douleur de la gorge, en particulier à la déglutition.</t>
  </si>
  <si>
    <t xml:space="preserve">Syndrome ORL douloureux</t>
  </si>
  <si>
    <t xml:space="preserve">sig_myalgies</t>
  </si>
  <si>
    <t xml:space="preserve">Myalgies</t>
  </si>
  <si>
    <t xml:space="preserve">courbatures, douleurs musculaires</t>
  </si>
  <si>
    <t xml:space="preserve">Douleurs des muscles.</t>
  </si>
  <si>
    <t xml:space="preserve">sig_nodule</t>
  </si>
  <si>
    <t xml:space="preserve">Nodule sous-cutané</t>
  </si>
  <si>
    <t xml:space="preserve">boule sous la peau</t>
  </si>
  <si>
    <t xml:space="preserve">Boule ferme sous la peau.</t>
  </si>
  <si>
    <t xml:space="preserve">Syndrome cutané prurigineux
Syndrome cutané ulcéreux
Syndrome cutanéo-nerveux</t>
  </si>
  <si>
    <t xml:space="preserve">sig_otalgie</t>
  </si>
  <si>
    <t xml:space="preserve">Otalgie</t>
  </si>
  <si>
    <t xml:space="preserve">douleur d'oreille, mal d'oreille</t>
  </si>
  <si>
    <t xml:space="preserve">Douleur de l'oreille.</t>
  </si>
  <si>
    <t xml:space="preserve">sig_paralysie</t>
  </si>
  <si>
    <t xml:space="preserve">Paralysie</t>
  </si>
  <si>
    <t xml:space="preserve">faiblesse d'un membre, déficit moteur</t>
  </si>
  <si>
    <t xml:space="preserve">Perte de la force ou du mouvement d'un membre.</t>
  </si>
  <si>
    <t xml:space="preserve">Syndrome de paralysie flasque</t>
  </si>
  <si>
    <t xml:space="preserve">sig_hypoesthesie</t>
  </si>
  <si>
    <t xml:space="preserve">Perte de sensibilité</t>
  </si>
  <si>
    <t xml:space="preserve">insensibilité, engourdissement</t>
  </si>
  <si>
    <t xml:space="preserve">Diminution ou perte de la sensibilité de la peau.</t>
  </si>
  <si>
    <t xml:space="preserve">Syndrome cutanéo-nerveux</t>
  </si>
  <si>
    <t xml:space="preserve">sig_photophobie</t>
  </si>
  <si>
    <t xml:space="preserve">Photophobie</t>
  </si>
  <si>
    <t xml:space="preserve">gêne à la lumière</t>
  </si>
  <si>
    <t xml:space="preserve">Inconfort ou douleur provoqués par la lumière.</t>
  </si>
  <si>
    <t xml:space="preserve">Syndrome méningé</t>
  </si>
  <si>
    <t xml:space="preserve">sig_pli_cutane</t>
  </si>
  <si>
    <t xml:space="preserve">Pli cutané persistant</t>
  </si>
  <si>
    <t xml:space="preserve">pli de déshydratation</t>
  </si>
  <si>
    <t xml:space="preserve">La peau pincée reste plissée ; signe de déshydratation.</t>
  </si>
  <si>
    <t xml:space="preserve">Syndrome de déshydratation</t>
  </si>
  <si>
    <t xml:space="preserve">sig_prurit</t>
  </si>
  <si>
    <t xml:space="preserve">Prurit</t>
  </si>
  <si>
    <t xml:space="preserve">démangeaisons, grattage</t>
  </si>
  <si>
    <t xml:space="preserve">Démangeaisons de la peau.</t>
  </si>
  <si>
    <t xml:space="preserve">Syndrome cutané prurigineux
Syndrome de dermatose localisée
Syndrome oculaire</t>
  </si>
  <si>
    <t xml:space="preserve">sig_paleur</t>
  </si>
  <si>
    <t xml:space="preserve">Pâleur</t>
  </si>
  <si>
    <t xml:space="preserve">décoloration</t>
  </si>
  <si>
    <t xml:space="preserve">Coloration blanche de la peau et des muqueuses, évoquant une anémie.</t>
  </si>
  <si>
    <t xml:space="preserve">Syndrome anémique</t>
  </si>
  <si>
    <t xml:space="preserve">Pétéchies [à valider]</t>
  </si>
  <si>
    <t xml:space="preserve">purpura, petites taches rouges</t>
  </si>
  <si>
    <t xml:space="preserve">Petites taches rouges ou violacées qui ne s'effacent pas à la pression. Traduisent un saignement sous la peau.</t>
  </si>
  <si>
    <t xml:space="preserve">Syndrome hémorragique [à valider]</t>
  </si>
  <si>
    <t xml:space="preserve">sig_raideur_nuque</t>
  </si>
  <si>
    <t xml:space="preserve">Raideur de nuque</t>
  </si>
  <si>
    <t xml:space="preserve">nuque raide</t>
  </si>
  <si>
    <t xml:space="preserve">Difficulté douloureuse à fléchir le cou ; signe d'irritation des méninges.</t>
  </si>
  <si>
    <t xml:space="preserve">Syndrome méningé
Syndrome neurologique fébrile [à valider]</t>
  </si>
  <si>
    <t xml:space="preserve">sig_refus_teter</t>
  </si>
  <si>
    <t xml:space="preserve">Refus de téter</t>
  </si>
  <si>
    <t xml:space="preserve">difficulté à s'alimenter, ne tète plus</t>
  </si>
  <si>
    <t xml:space="preserve">Le nourrisson ne tète plus ou s'alimente difficilement ; signe d'alerte.</t>
  </si>
  <si>
    <t xml:space="preserve">sig_polypnee</t>
  </si>
  <si>
    <t xml:space="preserve">Respiration rapide</t>
  </si>
  <si>
    <t xml:space="preserve">polypnée, tachypnée</t>
  </si>
  <si>
    <t xml:space="preserve">Fréquence respiratoire augmentée ; signe d'alerte de pneumonie chez l'enfant.</t>
  </si>
  <si>
    <t xml:space="preserve">Syndrome respiratoire aigu</t>
  </si>
  <si>
    <t xml:space="preserve">sig_retard_croissance</t>
  </si>
  <si>
    <t xml:space="preserve">Retard de croissance</t>
  </si>
  <si>
    <t xml:space="preserve">retard staturo-pondéral, petite taille</t>
  </si>
  <si>
    <t xml:space="preserve">Poids et/ou taille insuffisants pour l'âge.</t>
  </si>
  <si>
    <t xml:space="preserve">Syndrome de malnutrition</t>
  </si>
  <si>
    <t xml:space="preserve">sig_saignements</t>
  </si>
  <si>
    <t xml:space="preserve">Saignements</t>
  </si>
  <si>
    <t xml:space="preserve">hémorragies, saignement du nez, saignement des gencives</t>
  </si>
  <si>
    <t xml:space="preserve">Écoulement de sang : nez, gencives, peau (pétéchies) ou digestif.</t>
  </si>
  <si>
    <t xml:space="preserve">Syndrome hémorragique</t>
  </si>
  <si>
    <t xml:space="preserve">Selles décolorées [à valider]</t>
  </si>
  <si>
    <t xml:space="preserve">selles blanches, selles mastic</t>
  </si>
  <si>
    <t xml:space="preserve">Selles pâles ou blanchâtres, signe d'un défaut d'écoulement de la bile.</t>
  </si>
  <si>
    <t xml:space="preserve">sig_sifflement</t>
  </si>
  <si>
    <t xml:space="preserve">Sifflement respiratoire</t>
  </si>
  <si>
    <t xml:space="preserve">wheezing, respiration sifflante</t>
  </si>
  <si>
    <t xml:space="preserve">Bruit sifflant entendu à la respiration.</t>
  </si>
  <si>
    <t xml:space="preserve">sig_soif</t>
  </si>
  <si>
    <t xml:space="preserve">Soif intense</t>
  </si>
  <si>
    <t xml:space="preserve">polydipsie</t>
  </si>
  <si>
    <t xml:space="preserve">Besoin intense et permanent de boire.</t>
  </si>
  <si>
    <t xml:space="preserve">sig_splenomegalie</t>
  </si>
  <si>
    <t xml:space="preserve">Splénomégalie</t>
  </si>
  <si>
    <t xml:space="preserve">grosse rate</t>
  </si>
  <si>
    <t xml:space="preserve">Augmentation du volume de la rate, palpable sous les côtes gauches.</t>
  </si>
  <si>
    <t xml:space="preserve">sig_stridor</t>
  </si>
  <si>
    <t xml:space="preserve">Stridor</t>
  </si>
  <si>
    <t xml:space="preserve">bruit respiratoire aigu</t>
  </si>
  <si>
    <t xml:space="preserve">Bruit rauque à la respiration, signe d'un rétrécissement des voies aériennes hautes.</t>
  </si>
  <si>
    <t xml:space="preserve">Syndrome laryngé</t>
  </si>
  <si>
    <t xml:space="preserve">sig_sueurs_nocturnes</t>
  </si>
  <si>
    <t xml:space="preserve">Sueurs nocturnes</t>
  </si>
  <si>
    <t xml:space="preserve">transpiration la nuit</t>
  </si>
  <si>
    <t xml:space="preserve">Transpiration abondante pendant la nuit.</t>
  </si>
  <si>
    <t xml:space="preserve">Syndrome d'altération de l'état général
Syndrome respiratoire chronique</t>
  </si>
  <si>
    <t xml:space="preserve">sig_sueurs</t>
  </si>
  <si>
    <t xml:space="preserve">Sueurs profuses</t>
  </si>
  <si>
    <t xml:space="preserve">transpiration, suées</t>
  </si>
  <si>
    <t xml:space="preserve">Transpiration abondante, fréquente lors de la chute de la fièvre.</t>
  </si>
  <si>
    <t xml:space="preserve">sig_taches_cutanees</t>
  </si>
  <si>
    <t xml:space="preserve">Taches cutanées</t>
  </si>
  <si>
    <t xml:space="preserve">macules, taches sur la peau</t>
  </si>
  <si>
    <t xml:space="preserve">Taches anormales sur la peau, claires ou colorées.</t>
  </si>
  <si>
    <t xml:space="preserve">Tachycardie [à valider]</t>
  </si>
  <si>
    <t xml:space="preserve">cœur rapide, palpitations</t>
  </si>
  <si>
    <t xml:space="preserve">Fréquence cardiaque élevée pour l'âge. Peut traduire une fièvre, une anémie, une déshydratation ou un choc.</t>
  </si>
  <si>
    <t xml:space="preserve">Syndrome anémique [à valider]</t>
  </si>
  <si>
    <t xml:space="preserve">sig_toux</t>
  </si>
  <si>
    <t xml:space="preserve">Toux</t>
  </si>
  <si>
    <t xml:space="preserve">toux sèche, toux grasse</t>
  </si>
  <si>
    <t xml:space="preserve">Expulsion d'air bruyante, parfois avec crachats.</t>
  </si>
  <si>
    <t xml:space="preserve">Syndrome laryngé
Syndrome respiratoire aigu
Syndrome respiratoire chronique
Syndrome éruptif fébrile</t>
  </si>
  <si>
    <t xml:space="preserve">sig_trismus</t>
  </si>
  <si>
    <t xml:space="preserve">Trismus</t>
  </si>
  <si>
    <t xml:space="preserve">mâchoire bloquée</t>
  </si>
  <si>
    <t xml:space="preserve">Blocage douloureux de l'ouverture de la mâchoire.</t>
  </si>
  <si>
    <t xml:space="preserve">sig_troubles_conscience</t>
  </si>
  <si>
    <t xml:space="preserve">Troubles de la conscience</t>
  </si>
  <si>
    <t xml:space="preserve">confusion, somnolence, coma</t>
  </si>
  <si>
    <t xml:space="preserve">Altération de la vigilance : somnolence, confusion, jusqu'au coma.</t>
  </si>
  <si>
    <t xml:space="preserve">Syndrome de souffrance du nouveau-né
Syndrome neuro-comportemental
Syndrome neurologique fébrile</t>
  </si>
  <si>
    <t xml:space="preserve">sig_troubles_comportement</t>
  </si>
  <si>
    <t xml:space="preserve">Troubles du comportement</t>
  </si>
  <si>
    <t xml:space="preserve">agitation, agressivité</t>
  </si>
  <si>
    <t xml:space="preserve">Agitation, agressivité ou changement inhabituel du comportement.</t>
  </si>
  <si>
    <t xml:space="preserve">sig_troubles_sommeil</t>
  </si>
  <si>
    <t xml:space="preserve">Troubles du sommeil</t>
  </si>
  <si>
    <t xml:space="preserve">insomnie, somnolence diurne</t>
  </si>
  <si>
    <t xml:space="preserve">Rythme veille/sommeil perturbé, somnolence dans la journée.</t>
  </si>
  <si>
    <t xml:space="preserve">sig_ulcere_cutane</t>
  </si>
  <si>
    <t xml:space="preserve">Ulcère cutané</t>
  </si>
  <si>
    <t xml:space="preserve">plaie, ulcère de peau</t>
  </si>
  <si>
    <t xml:space="preserve">Perte de substance de la peau formant une plaie creusante.</t>
  </si>
  <si>
    <t xml:space="preserve">Syndrome cutané ulcéreux</t>
  </si>
  <si>
    <t xml:space="preserve">sig_ulceration_genitale</t>
  </si>
  <si>
    <t xml:space="preserve">Ulcération génitale</t>
  </si>
  <si>
    <t xml:space="preserve">chancre, plaie génitale</t>
  </si>
  <si>
    <t xml:space="preserve">Plaie ou ulcération sur les organes génitaux.</t>
  </si>
  <si>
    <t xml:space="preserve">Syndrome d'IST (uro-génital)</t>
  </si>
  <si>
    <t xml:space="preserve">Urines foncées [à valider]</t>
  </si>
  <si>
    <t xml:space="preserve">urines couleur coca, urines brunes</t>
  </si>
  <si>
    <t xml:space="preserve">Urines de couleur foncée (thé, coca). Accompagnent souvent un ictère d'origine hépatique ou une hémolyse.</t>
  </si>
  <si>
    <t xml:space="preserve">sig_dysphonie</t>
  </si>
  <si>
    <t xml:space="preserve">Voix rauque</t>
  </si>
  <si>
    <t xml:space="preserve">enrouement, dysphonie</t>
  </si>
  <si>
    <t xml:space="preserve">Modification de la voix, qui devient rauque ou éteinte.</t>
  </si>
  <si>
    <t xml:space="preserve">sig_vomissements</t>
  </si>
  <si>
    <t xml:space="preserve">Vomissements</t>
  </si>
  <si>
    <t xml:space="preserve">rejets</t>
  </si>
  <si>
    <t xml:space="preserve">Rejet du contenu de l'estomac par la bouche.</t>
  </si>
  <si>
    <t xml:space="preserve">Syndrome de déshydratation
Syndrome digestif fébrile
Syndrome méningé</t>
  </si>
  <si>
    <t xml:space="preserve">sig_ecoulement_genital</t>
  </si>
  <si>
    <t xml:space="preserve">Écoulement génital</t>
  </si>
  <si>
    <t xml:space="preserve">pertes, écoulement urétral</t>
  </si>
  <si>
    <t xml:space="preserve">Écoulement anormal au niveau des organes génitaux.</t>
  </si>
  <si>
    <t xml:space="preserve">sig_eruption</t>
  </si>
  <si>
    <t xml:space="preserve">Éruption cutanée</t>
  </si>
  <si>
    <t xml:space="preserve">boutons, rash, taches</t>
  </si>
  <si>
    <t xml:space="preserve">Apparition de taches, rougeurs ou boutons sur la peau.</t>
  </si>
  <si>
    <t xml:space="preserve">Syndrome de dermatose localisée
Syndrome hémorragique
Syndrome éruptif fébrile</t>
  </si>
  <si>
    <t xml:space="preserve">État de choc [à valider]</t>
  </si>
  <si>
    <t xml:space="preserve">collapsus, extrémités froides, pouls filant, hypotension</t>
  </si>
  <si>
    <t xml:space="preserve">Défaillance circulatoire : extrémités froides, pouls faible et rapide, temps de recoloration allongé, tension basse. Urgence vitale.</t>
  </si>
  <si>
    <t xml:space="preserve">sig_oedemes</t>
  </si>
  <si>
    <t xml:space="preserve">Œdèmes</t>
  </si>
  <si>
    <t xml:space="preserve">gonflement, enflure</t>
  </si>
  <si>
    <t xml:space="preserve">Gonflement des membres ou du visage, par exemple dans le kwashiorkor.</t>
  </si>
  <si>
    <t xml:space="preserve">sig_conjonctivite</t>
  </si>
  <si>
    <t xml:space="preserve">Œil rouge</t>
  </si>
  <si>
    <t xml:space="preserve">conjonctivite, yeux rouges</t>
  </si>
  <si>
    <t xml:space="preserve">Yeux rouges et larmoyants.</t>
  </si>
  <si>
    <t xml:space="preserve">Syndrome oculaire [à valider]
Syndrome éruptif fébrile</t>
  </si>
  <si>
    <t xml:space="preserve">syn_orl_douloureux</t>
  </si>
  <si>
    <t xml:space="preserve">douleur oreille-gorge</t>
  </si>
  <si>
    <t xml:space="preserve">Douleur de l'oreille ou de la gorge, souvent accompagnée de fièvre.</t>
  </si>
  <si>
    <t xml:space="preserve">Fièvre
Mal de gorge
Otalgie</t>
  </si>
  <si>
    <t xml:space="preserve">Diphtérie
Otite moyenne aiguë</t>
  </si>
  <si>
    <t xml:space="preserve">syn_algique</t>
  </si>
  <si>
    <t xml:space="preserve">syndrome pseudo-grippal, courbatures fébriles</t>
  </si>
  <si>
    <t xml:space="preserve">Douleurs articulaires et musculaires diffuses accompagnant la fièvre.</t>
  </si>
  <si>
    <t xml:space="preserve">Arthralgies
Céphalées
Douleur rétro-orbitaire [à valider]
Fièvre [à valider]
Gonflement articulaire [à valider]
Myalgies</t>
  </si>
  <si>
    <t xml:space="preserve">COVID-19
Chikungunya
Dengue
Drépanocytose
Grippe
Leptospirose
Rhumatisme articulaire aigu (RAA)</t>
  </si>
  <si>
    <t xml:space="preserve">syn_anemique</t>
  </si>
  <si>
    <t xml:space="preserve">anémie</t>
  </si>
  <si>
    <t xml:space="preserve">Signes d'un manque de globules rouges : pâleur, fatigue, essoufflement.</t>
  </si>
  <si>
    <t xml:space="preserve">Asthénie
Dyspnée [à valider]
Ictère [à valider]
Pâleur
Splénomégalie
Tachycardie [à valider]</t>
  </si>
  <si>
    <t xml:space="preserve">Anémie carentielle de l'enfant
Drépanocytose
Géohelminthiases
Malnutrition aiguë sévère
Paludisme</t>
  </si>
  <si>
    <t xml:space="preserve">syn_prurigineux</t>
  </si>
  <si>
    <t xml:space="preserve">Syndrome cutané prurigineux</t>
  </si>
  <si>
    <t xml:space="preserve">démangeaisons chroniques</t>
  </si>
  <si>
    <t xml:space="preserve">Démangeaisons intenses de la peau, parfois avec des nodules sous la peau.</t>
  </si>
  <si>
    <t xml:space="preserve">Nodule sous-cutané
Prurit</t>
  </si>
  <si>
    <t xml:space="preserve">Gale
Loase
Onchocercose (cécité des rivières)
Varicelle</t>
  </si>
  <si>
    <t xml:space="preserve">syn_cutane_ulcereux</t>
  </si>
  <si>
    <t xml:space="preserve">lésion cutanée creusante</t>
  </si>
  <si>
    <t xml:space="preserve">Lésion de la peau évoluant d'un nodule vers un ulcère creusant.</t>
  </si>
  <si>
    <t xml:space="preserve">Nodule sous-cutané
Ulcère cutané</t>
  </si>
  <si>
    <t xml:space="preserve">Pian
Ulcère de Buruli</t>
  </si>
  <si>
    <t xml:space="preserve">syn_cutaneo_nerveux</t>
  </si>
  <si>
    <t xml:space="preserve">atteinte cutanée et nerveuse</t>
  </si>
  <si>
    <t xml:space="preserve">Taches de peau ayant perdu la sensibilité, avec atteinte des nerfs.</t>
  </si>
  <si>
    <t xml:space="preserve">Nodule sous-cutané
Perte de sensibilité
Taches cutanées</t>
  </si>
  <si>
    <t xml:space="preserve">Lèpre (maladie de Hansen)</t>
  </si>
  <si>
    <t xml:space="preserve">syn_ist</t>
  </si>
  <si>
    <t xml:space="preserve">infection sexuellement transmissible</t>
  </si>
  <si>
    <t xml:space="preserve">Ulcération ou écoulement au niveau génital, parfois brûlures en urinant.</t>
  </si>
  <si>
    <t xml:space="preserve">Brûlures mictionnelles
Ulcération génitale
Écoulement génital</t>
  </si>
  <si>
    <t xml:space="preserve">Gonococcie
Syphilis</t>
  </si>
  <si>
    <t xml:space="preserve">syn_aeg</t>
  </si>
  <si>
    <t xml:space="preserve">Syndrome d'altération de l'état général</t>
  </si>
  <si>
    <t xml:space="preserve">AEG</t>
  </si>
  <si>
    <t xml:space="preserve">Amaigrissement, fatigue, perte d'appétit et sueurs nocturnes.</t>
  </si>
  <si>
    <t xml:space="preserve">Amaigrissement
Anorexie
Asthénie
Sueurs nocturnes</t>
  </si>
  <si>
    <t xml:space="preserve">Infection à VIH / sida
Trypanosomiase humaine africaine
Tuberculose</t>
  </si>
  <si>
    <t xml:space="preserve">syn_immunodepression</t>
  </si>
  <si>
    <t xml:space="preserve">Syndrome d'immunodépression</t>
  </si>
  <si>
    <t xml:space="preserve">baisse des défenses</t>
  </si>
  <si>
    <t xml:space="preserve">Baisse des défenses de l'organisme : infections à répétition, diarrhée qui traîne, amaigrissement.</t>
  </si>
  <si>
    <t xml:space="preserve">Adénopathies
Amaigrissement
Diarrhée</t>
  </si>
  <si>
    <t xml:space="preserve">Infection à VIH / sida</t>
  </si>
  <si>
    <t xml:space="preserve">syn_dermatose_localisee</t>
  </si>
  <si>
    <t xml:space="preserve">lésion cutanée localisée</t>
  </si>
  <si>
    <t xml:space="preserve">Lésions de peau localisées : rougeurs, croûtes et démangeaisons.</t>
  </si>
  <si>
    <t xml:space="preserve">Croûtes cutanées
Prurit
Éruption cutanée</t>
  </si>
  <si>
    <t xml:space="preserve">Impétigo
Teigne du cuir chevelu</t>
  </si>
  <si>
    <t xml:space="preserve">syn_deshydratation</t>
  </si>
  <si>
    <t xml:space="preserve">déshydratation</t>
  </si>
  <si>
    <t xml:space="preserve">Perte importante d'eau : diarrhée abondante, soif intense, pli de la peau qui persiste.</t>
  </si>
  <si>
    <t xml:space="preserve">Diarrhée
Pli cutané persistant
Soif intense
Vomissements</t>
  </si>
  <si>
    <t xml:space="preserve">Amibiase
Choléra
Gastro-entérite aiguë</t>
  </si>
  <si>
    <t xml:space="preserve">syn_malnutrition</t>
  </si>
  <si>
    <t xml:space="preserve">dénutrition</t>
  </si>
  <si>
    <t xml:space="preserve">Amaigrissement, retard de croissance et parfois œdèmes, avec perte d'appétit.</t>
  </si>
  <si>
    <t xml:space="preserve">Amaigrissement
Anorexie
Retard de croissance
Œdèmes</t>
  </si>
  <si>
    <t xml:space="preserve">Malnutrition aiguë sévère</t>
  </si>
  <si>
    <t xml:space="preserve">syn_paralysie</t>
  </si>
  <si>
    <t xml:space="preserve">paralysie aiguë</t>
  </si>
  <si>
    <t xml:space="preserve">Faiblesse ou paralysie molle d'un membre, d'installation récente.</t>
  </si>
  <si>
    <t xml:space="preserve">Fièvre
Paralysie</t>
  </si>
  <si>
    <t xml:space="preserve">Poliomyélite</t>
  </si>
  <si>
    <t xml:space="preserve">syn_souffrance_neonatale</t>
  </si>
  <si>
    <t xml:space="preserve">détresse néonatale</t>
  </si>
  <si>
    <t xml:space="preserve">Signes d'alerte chez le nouveau-né : refus de téter, léthargie, difficulté à respirer.</t>
  </si>
  <si>
    <t xml:space="preserve">Dyspnée
Hypothermie
Refus de téter
Troubles de la conscience</t>
  </si>
  <si>
    <t xml:space="preserve">Asphyxie néonatale
Infection néonatale (sepsis)
Prématurité / faible poids de naissance
Tétanos néonatal</t>
  </si>
  <si>
    <t xml:space="preserve">syn_spasmes</t>
  </si>
  <si>
    <t xml:space="preserve">contractures généralisées</t>
  </si>
  <si>
    <t xml:space="preserve">Contractures et spasmes musculaires, blocage de la mâchoire (trismus).</t>
  </si>
  <si>
    <t xml:space="preserve">Contractures musculaires
Convulsions
Trismus</t>
  </si>
  <si>
    <t xml:space="preserve">Tétanos
Tétanos néonatal</t>
  </si>
  <si>
    <t xml:space="preserve">syn_digestif</t>
  </si>
  <si>
    <t xml:space="preserve">Syndrome digestif fébrile</t>
  </si>
  <si>
    <t xml:space="preserve">troubles digestifs fébriles</t>
  </si>
  <si>
    <t xml:space="preserve">Fièvre associée à des troubles digestifs : douleur au ventre, diarrhée, vomissements.</t>
  </si>
  <si>
    <t xml:space="preserve">Constipation [à valider]
Diarrhée
Diarrhée sanglante [à valider]
Douleur abdominale
Fièvre [à valider]
Vomissements</t>
  </si>
  <si>
    <t xml:space="preserve">Amibiase
Choléra
Fièvre typhoïde
Gastro-entérite aiguë
Géohelminthiases
Hépatite virale B
Paludisme
Rougeole
Schistosomiase (bilharziose)</t>
  </si>
  <si>
    <t xml:space="preserve">syn_febrile</t>
  </si>
  <si>
    <t xml:space="preserve">état fébrile, fièvre isolée</t>
  </si>
  <si>
    <t xml:space="preserve">Association de fièvre et de signes généraux (frissons, sueurs, fatigue, maux de tête).</t>
  </si>
  <si>
    <t xml:space="preserve">Asthénie
Céphalées
Fièvre
Frissons
Sueurs profuses</t>
  </si>
  <si>
    <t xml:space="preserve">COVID-19
Chikungunya
Coqueluche
Dengue
Diphtérie
Drépanocytose
Filariose lymphatique
Fièvre de Lassa
Fièvre jaune
Fièvre typhoïde
Grippe
Hépatite virale B
Infection néonatale (sepsis)
Infection à VIH / sida
Laryngite aiguë
Leptospirose
Mpox
Méningite bactérienne
Oreillons
Otite moyenne aiguë
Paludisme
Pneumonie de l'enfant
Poliomyélite
Rhumatisme articulaire aigu (RAA)
Rougeole
Trypanosomiase humaine africaine
Tuberculose</t>
  </si>
  <si>
    <t xml:space="preserve">syn_hemorragique</t>
  </si>
  <si>
    <t xml:space="preserve">saignements multiples</t>
  </si>
  <si>
    <t xml:space="preserve">Tendance anormale aux saignements et aux taches de sang sous la peau.</t>
  </si>
  <si>
    <t xml:space="preserve">Fièvre [à valider]
Ictère [à valider]
Pétéchies [à valider]
Saignements
Éruption cutanée
État de choc [à valider]</t>
  </si>
  <si>
    <t xml:space="preserve">Dengue
Fièvre de Lassa
Fièvre jaune</t>
  </si>
  <si>
    <t xml:space="preserve">syn_ictere</t>
  </si>
  <si>
    <t xml:space="preserve">jaunisse</t>
  </si>
  <si>
    <t xml:space="preserve">Coloration jaune de la peau et des yeux, traduisant une atteinte du foie ou une destruction des globules rouges.</t>
  </si>
  <si>
    <t xml:space="preserve">Douleur de l'hypochondre droit [à valider]
Fièvre [à valider]
Hépatomégalie
Ictère
Selles décolorées [à valider]
Urines foncées [à valider]</t>
  </si>
  <si>
    <t xml:space="preserve">Fièvre jaune
Hépatite virale B
Ictère néonatal
Leptospirose
Paludisme</t>
  </si>
  <si>
    <t xml:space="preserve">syn_larynge</t>
  </si>
  <si>
    <t xml:space="preserve">obstruction respiratoire haute</t>
  </si>
  <si>
    <t xml:space="preserve">Voix rauque, toux aboyante et parfois bruit respiratoire (stridor) par atteinte du larynx.</t>
  </si>
  <si>
    <t xml:space="preserve">Dyspnée
Stridor
Toux
Voix rauque</t>
  </si>
  <si>
    <t xml:space="preserve">Laryngite aiguë</t>
  </si>
  <si>
    <t xml:space="preserve">syn_lymphatique</t>
  </si>
  <si>
    <t xml:space="preserve">atteinte lymphatique</t>
  </si>
  <si>
    <t xml:space="preserve">Gonflement d'un membre (lymphœdème) et/ou ganglions augmentés de volume.</t>
  </si>
  <si>
    <t xml:space="preserve">Adénopathies
Lymphœdème</t>
  </si>
  <si>
    <t xml:space="preserve">Filariose lymphatique
Trypanosomiase humaine africaine</t>
  </si>
  <si>
    <t xml:space="preserve">syn_meninge</t>
  </si>
  <si>
    <t xml:space="preserve">irritation méningée</t>
  </si>
  <si>
    <t xml:space="preserve">Ensemble évoquant une atteinte des méninges : maux de tête, raideur de nuque, gêne à la lumière, vomissements.</t>
  </si>
  <si>
    <t xml:space="preserve">Céphalées
Photophobie
Raideur de nuque
Vomissements</t>
  </si>
  <si>
    <t xml:space="preserve">Méningite bactérienne</t>
  </si>
  <si>
    <t xml:space="preserve">syn_neuro_comportemental</t>
  </si>
  <si>
    <t xml:space="preserve">troubles neuropsychiques</t>
  </si>
  <si>
    <t xml:space="preserve">Troubles du sommeil, du comportement et de la conscience.</t>
  </si>
  <si>
    <t xml:space="preserve">Hydrophobie
Troubles de la conscience
Troubles du comportement
Troubles du sommeil</t>
  </si>
  <si>
    <t xml:space="preserve">Rage
Trypanosomiase humaine africaine</t>
  </si>
  <si>
    <t xml:space="preserve">syn_neuro_febrile</t>
  </si>
  <si>
    <t xml:space="preserve">Syndrome neurologique fébrile</t>
  </si>
  <si>
    <t xml:space="preserve">atteinte neurologique fébrile</t>
  </si>
  <si>
    <t xml:space="preserve">Atteinte du cerveau avec fièvre : troubles de la conscience et/ou convulsions. Signe de gravité.</t>
  </si>
  <si>
    <t xml:space="preserve">Convulsions
Céphalées [à valider]
Fièvre
Fontanelle bombée [à valider]
Raideur de nuque [à valider]
Troubles de la conscience</t>
  </si>
  <si>
    <t xml:space="preserve">Convulsions fébriles
Fièvre typhoïde
Méningite bactérienne
Paludisme
Rage
Rougeole</t>
  </si>
  <si>
    <t xml:space="preserve">syn_oculaire</t>
  </si>
  <si>
    <t xml:space="preserve">atteinte oculaire</t>
  </si>
  <si>
    <t xml:space="preserve">Atteinte des yeux avec baisse de la vue pouvant aller jusqu'à la cécité.</t>
  </si>
  <si>
    <t xml:space="preserve">Baisse de la vue
Prurit
Œil rouge [à valider]</t>
  </si>
  <si>
    <t xml:space="preserve">Loase
Onchocercose (cécité des rivières)
Trachome</t>
  </si>
  <si>
    <t xml:space="preserve">syn_parotidien</t>
  </si>
  <si>
    <t xml:space="preserve">parotidite</t>
  </si>
  <si>
    <t xml:space="preserve">Gonflement douloureux des joues (glandes parotides), souvent avec fièvre.</t>
  </si>
  <si>
    <t xml:space="preserve">Fièvre
Gonflement des joues</t>
  </si>
  <si>
    <t xml:space="preserve">Oreillons</t>
  </si>
  <si>
    <t xml:space="preserve">syn_respiratoire_aigu</t>
  </si>
  <si>
    <t xml:space="preserve">détresse respiratoire, infection respiratoire aiguë</t>
  </si>
  <si>
    <t xml:space="preserve">Fièvre avec toux et difficulté à respirer d'installation rapide.</t>
  </si>
  <si>
    <t xml:space="preserve">Dyspnée
Fièvre
Respiration rapide
Sifflement respiratoire
Toux</t>
  </si>
  <si>
    <t xml:space="preserve">Bronchiolite du nourrisson
COVID-19
Diphtérie
Grippe
Pneumonie de l'enfant
Rougeole</t>
  </si>
  <si>
    <t xml:space="preserve">syn_respiratoire_chronique</t>
  </si>
  <si>
    <t xml:space="preserve">toux chronique</t>
  </si>
  <si>
    <t xml:space="preserve">Toux qui dure (plus de 2 à 3 semaines), parfois avec crachats de sang et amaigrissement.</t>
  </si>
  <si>
    <t xml:space="preserve">Amaigrissement
Hémoptysie
Sueurs nocturnes
Toux</t>
  </si>
  <si>
    <t xml:space="preserve">Coqueluche
Tuberculose</t>
  </si>
  <si>
    <t xml:space="preserve">syn_urinaire</t>
  </si>
  <si>
    <t xml:space="preserve">signes urinaires</t>
  </si>
  <si>
    <t xml:space="preserve">Signes urinaires, en particulier du sang dans les urines.</t>
  </si>
  <si>
    <t xml:space="preserve">Brûlures mictionnelles [à valider]
Douleur abdominale
Envies fréquentes d'uriner [à valider]
Hématurie</t>
  </si>
  <si>
    <t xml:space="preserve">Schistosomiase (bilharziose)</t>
  </si>
  <si>
    <t xml:space="preserve">syn_eruptif_febrile</t>
  </si>
  <si>
    <t xml:space="preserve">Syndrome éruptif fébrile</t>
  </si>
  <si>
    <t xml:space="preserve">fièvre éruptive</t>
  </si>
  <si>
    <t xml:space="preserve">Fièvre accompagnée d'une éruption sur la peau, souvent avec toux et yeux rouges.</t>
  </si>
  <si>
    <t xml:space="preserve">Fièvre
Toux
Éruption cutanée
Œil rouge</t>
  </si>
  <si>
    <t xml:space="preserve">Mpox
Rougeole
Syphilis
Varicelle</t>
  </si>
  <si>
    <t xml:space="preserve">pat_amibiase</t>
  </si>
  <si>
    <t xml:space="preserve">Amibiase</t>
  </si>
  <si>
    <t xml:space="preserve">amœbose, dysenterie amibienne</t>
  </si>
  <si>
    <t xml:space="preserve">Infection parasitaire intestinale (Entamoeba histolytica) liée à l'eau et aux aliments souillés. Donne une diarrhée glairo-sanglante, parfois un abcès du foie.</t>
  </si>
  <si>
    <t xml:space="preserve">Modérée</t>
  </si>
  <si>
    <t xml:space="preserve">Syndrome de déshydratation
Syndrome digestif fébrile</t>
  </si>
  <si>
    <t xml:space="preserve">Maladies infectieuses (Infectiologie)</t>
  </si>
  <si>
    <t xml:space="preserve">pat_anemie_enfant</t>
  </si>
  <si>
    <t xml:space="preserve">Anémie carentielle de l'enfant</t>
  </si>
  <si>
    <t xml:space="preserve">anémie ferriprive</t>
  </si>
  <si>
    <t xml:space="preserve">Manque de globules rouges par carence (fer), aggravé par le paludisme et les vers. Se traduit par pâleur et fatigue.</t>
  </si>
  <si>
    <t xml:space="preserve">Pédiatrie</t>
  </si>
  <si>
    <t xml:space="preserve">pat_asphyxie_neonatale</t>
  </si>
  <si>
    <t xml:space="preserve">Asphyxie néonatale</t>
  </si>
  <si>
    <t xml:space="preserve">souffrance à la naissance</t>
  </si>
  <si>
    <t xml:space="preserve">Manque d'oxygène autour de la naissance, pouvant laisser des séquelles neurologiques. Urgence de la salle de naissance.</t>
  </si>
  <si>
    <t xml:space="preserve">Vitale</t>
  </si>
  <si>
    <t xml:space="preserve">pat_bronchiolite</t>
  </si>
  <si>
    <t xml:space="preserve">Bronchiolite du nourrisson</t>
  </si>
  <si>
    <t xml:space="preserve">VRS</t>
  </si>
  <si>
    <t xml:space="preserve">Infection virale des petites bronches du nourrisson, avec gêne respiratoire et sifflement.</t>
  </si>
  <si>
    <t xml:space="preserve">Maladies infectieuses (Infectiologie)
Pédiatrie</t>
  </si>
  <si>
    <t xml:space="preserve">pat_covid19</t>
  </si>
  <si>
    <t xml:space="preserve">COVID-19</t>
  </si>
  <si>
    <t xml:space="preserve">coronavirus, SARS-CoV-2</t>
  </si>
  <si>
    <t xml:space="preserve">Maladie virale respiratoire allant du simple rhume à la détresse respiratoire chez les personnes fragiles.</t>
  </si>
  <si>
    <t xml:space="preserve">Syndrome algique diffus
Syndrome fébrile
Syndrome respiratoire aigu</t>
  </si>
  <si>
    <t xml:space="preserve">pat_chikungunya</t>
  </si>
  <si>
    <t xml:space="preserve">Chikungunya</t>
  </si>
  <si>
    <t xml:space="preserve">chik</t>
  </si>
  <si>
    <t xml:space="preserve">Maladie virale transmise par le moustique Aedes, dominée par des douleurs articulaires intenses et prolongées.</t>
  </si>
  <si>
    <t xml:space="preserve">Faible</t>
  </si>
  <si>
    <t xml:space="preserve">Syndrome algique diffus
Syndrome fébrile</t>
  </si>
  <si>
    <t xml:space="preserve">pat_cholera</t>
  </si>
  <si>
    <t xml:space="preserve">Choléra</t>
  </si>
  <si>
    <t xml:space="preserve">choléra</t>
  </si>
  <si>
    <t xml:space="preserve">Diarrhée aqueuse très abondante d'origine bactérienne (Vibrio cholerae), liée à l'eau souillée. Urgence : la déshydratation peut tuer en quelques heures.</t>
  </si>
  <si>
    <t xml:space="preserve">pat_convulsions_febriles</t>
  </si>
  <si>
    <t xml:space="preserve">Convulsions fébriles</t>
  </si>
  <si>
    <t xml:space="preserve">crises fébriles</t>
  </si>
  <si>
    <t xml:space="preserve">Convulsions déclenchées par la fièvre chez le jeune enfant, le plus souvent bénignes mais impressionnantes ; il faut toujours éliminer une méningite.</t>
  </si>
  <si>
    <t xml:space="preserve">pat_coqueluche</t>
  </si>
  <si>
    <t xml:space="preserve">Coqueluche</t>
  </si>
  <si>
    <t xml:space="preserve">toux quinteuse</t>
  </si>
  <si>
    <t xml:space="preserve">Infection respiratoire bactérienne très contagieuse, dangereuse chez le nourrisson (quintes de toux). Évitable par la vaccination.</t>
  </si>
  <si>
    <t xml:space="preserve">Syndrome fébrile
Syndrome respiratoire chronique</t>
  </si>
  <si>
    <t xml:space="preserve">pat_dengue</t>
  </si>
  <si>
    <t xml:space="preserve">Dengue</t>
  </si>
  <si>
    <t xml:space="preserve">fièvre de la dengue</t>
  </si>
  <si>
    <t xml:space="preserve">Maladie virale transmise par le moustique Aedes. Épidémies périodiques en Côte d'Ivoire ; la forme sévère est hémorragique.</t>
  </si>
  <si>
    <t xml:space="preserve">Syndrome algique diffus
Syndrome fébrile
Syndrome hémorragique</t>
  </si>
  <si>
    <t xml:space="preserve">pat_diphterie</t>
  </si>
  <si>
    <t xml:space="preserve">Diphtérie</t>
  </si>
  <si>
    <t xml:space="preserve">angine à fausses membranes</t>
  </si>
  <si>
    <t xml:space="preserve">Infection bactérienne de la gorge formant de fausses membranes pouvant obstruer les voies respiratoires. Évitable par la vaccination.</t>
  </si>
  <si>
    <t xml:space="preserve">Élevée</t>
  </si>
  <si>
    <t xml:space="preserve">Syndrome ORL douloureux
Syndrome fébrile
Syndrome respiratoire aigu</t>
  </si>
  <si>
    <t xml:space="preserve">pat_drepanocytose</t>
  </si>
  <si>
    <t xml:space="preserve">Drépanocytose</t>
  </si>
  <si>
    <t xml:space="preserve">anémie SS, hémoglobinose S</t>
  </si>
  <si>
    <t xml:space="preserve">Maladie génétique de l'hémoglobine très fréquente en Afrique de l'Ouest, responsable d'anémie chronique et de crises douloureuses. Partagée avec l'hématologie.</t>
  </si>
  <si>
    <t xml:space="preserve">Syndrome algique diffus
Syndrome anémique
Syndrome fébrile</t>
  </si>
  <si>
    <t xml:space="preserve">pat_filariose</t>
  </si>
  <si>
    <t xml:space="preserve">Filariose lymphatique</t>
  </si>
  <si>
    <t xml:space="preserve">éléphantiasis</t>
  </si>
  <si>
    <t xml:space="preserve">Maladie parasitaire transmise par les moustiques, qui obstrue les vaisseaux lymphatiques et provoque un gonflement des membres (éléphantiasis).</t>
  </si>
  <si>
    <t xml:space="preserve">Syndrome fébrile
Syndrome lymphatique</t>
  </si>
  <si>
    <t xml:space="preserve">pat_lassa</t>
  </si>
  <si>
    <t xml:space="preserve">Fièvre de Lassa</t>
  </si>
  <si>
    <t xml:space="preserve">fièvre hémorragique de Lassa</t>
  </si>
  <si>
    <t xml:space="preserve">Fièvre hémorragique virale d'Afrique de l'Ouest, transmise par les rongeurs. Urgence : risque hémorragique et forte contagiosité.</t>
  </si>
  <si>
    <t xml:space="preserve">Syndrome fébrile
Syndrome hémorragique</t>
  </si>
  <si>
    <t xml:space="preserve">pat_fievre_jaune</t>
  </si>
  <si>
    <t xml:space="preserve">Fièvre jaune</t>
  </si>
  <si>
    <t xml:space="preserve">vomito negro</t>
  </si>
  <si>
    <t xml:space="preserve">Maladie virale grave transmise par le moustique Aedes, avec risque d'atteinte du foie et d'hémorragies. Vaccin obligatoire pour entrer dans le pays.</t>
  </si>
  <si>
    <t xml:space="preserve">Syndrome fébrile
Syndrome hémorragique
Syndrome ictérique</t>
  </si>
  <si>
    <t xml:space="preserve">pat_typhoide</t>
  </si>
  <si>
    <t xml:space="preserve">Fièvre typhoïde</t>
  </si>
  <si>
    <t xml:space="preserve">typhoïde, salmonellose typhique</t>
  </si>
  <si>
    <t xml:space="preserve">Infection bactérienne (Salmonella Typhi) liée à l'eau et aux aliments souillés, fréquente là où l'hygiène est précaire.</t>
  </si>
  <si>
    <t xml:space="preserve">Syndrome digestif fébrile
Syndrome fébrile
Syndrome neurologique fébrile</t>
  </si>
  <si>
    <t xml:space="preserve">pat_gale</t>
  </si>
  <si>
    <t xml:space="preserve">Gale</t>
  </si>
  <si>
    <t xml:space="preserve">scabiose</t>
  </si>
  <si>
    <t xml:space="preserve">Maladie de peau parasitaire très contagieuse, provoquant des démangeaisons intenses surtout la nuit. Fréquente en collectivité.</t>
  </si>
  <si>
    <t xml:space="preserve">pat_gastro_enterite</t>
  </si>
  <si>
    <t xml:space="preserve">Gastro-entérite aiguë</t>
  </si>
  <si>
    <t xml:space="preserve">diarrhée aiguë, rotavirus</t>
  </si>
  <si>
    <t xml:space="preserve">Diarrhée aiguë du nourrisson, souvent virale (rotavirus). Le danger principal est la déshydratation, à prévenir par les SRO.</t>
  </si>
  <si>
    <t xml:space="preserve">pat_gonococcie</t>
  </si>
  <si>
    <t xml:space="preserve">Gonococcie</t>
  </si>
  <si>
    <t xml:space="preserve">blennorragie, chaude-pisse, IST</t>
  </si>
  <si>
    <t xml:space="preserve">Infection sexuellement transmissible bactérienne, cause fréquente d'écoulement génital et de brûlures urinaires.</t>
  </si>
  <si>
    <t xml:space="preserve">pat_grippe</t>
  </si>
  <si>
    <t xml:space="preserve">Grippe</t>
  </si>
  <si>
    <t xml:space="preserve">influenza, syndrome grippal</t>
  </si>
  <si>
    <t xml:space="preserve">Maladie virale respiratoire saisonnière : fièvre, courbatures, toux. Bénigne le plus souvent, plus sévère chez le sujet fragile.</t>
  </si>
  <si>
    <t xml:space="preserve">pat_geohelminthiases</t>
  </si>
  <si>
    <t xml:space="preserve">Géohelminthiases</t>
  </si>
  <si>
    <t xml:space="preserve">vers intestinaux, ascaridiose, ankylostomose</t>
  </si>
  <si>
    <t xml:space="preserve">Vers intestinaux transmis par un sol souillé, très fréquents chez l'enfant : troubles digestifs et anémie. Traitement de masse (déparasitage).</t>
  </si>
  <si>
    <t xml:space="preserve">Syndrome anémique
Syndrome digestif fébrile</t>
  </si>
  <si>
    <t xml:space="preserve">pat_hepatite_b</t>
  </si>
  <si>
    <t xml:space="preserve">Hépatite virale B</t>
  </si>
  <si>
    <t xml:space="preserve">VHB, hépatite B</t>
  </si>
  <si>
    <t xml:space="preserve">Infection virale du foie très fréquente en Afrique de l'Ouest, pouvant évoluer vers la cirrhose et le cancer du foie. Évitable par la vaccination.</t>
  </si>
  <si>
    <t xml:space="preserve">Syndrome digestif fébrile
Syndrome fébrile
Syndrome ictérique</t>
  </si>
  <si>
    <t xml:space="preserve">pat_ictere_neonatal</t>
  </si>
  <si>
    <t xml:space="preserve">Ictère néonatal</t>
  </si>
  <si>
    <t xml:space="preserve">jaunisse du nouveau-né</t>
  </si>
  <si>
    <t xml:space="preserve">Jaunisse du nouveau-né, souvent bénigne mais à surveiller : un ictère intense peut atteindre le cerveau.</t>
  </si>
  <si>
    <t xml:space="preserve">pat_impetigo</t>
  </si>
  <si>
    <t xml:space="preserve">Impétigo</t>
  </si>
  <si>
    <t xml:space="preserve">impétigo</t>
  </si>
  <si>
    <t xml:space="preserve">Infection bactérienne superficielle et très contagieuse de la peau, formant des croûtes couleur miel. Fréquente chez l'enfant.</t>
  </si>
  <si>
    <t xml:space="preserve">pat_sepsis_neonatal</t>
  </si>
  <si>
    <t xml:space="preserve">Infection néonatale (sepsis)</t>
  </si>
  <si>
    <t xml:space="preserve">sepsis néonatal, infection du nouveau-né</t>
  </si>
  <si>
    <t xml:space="preserve">Infection généralisée du nouveau-né. Urgence : signes discrets (refus de téter, léthargie) mais évolution très rapide.</t>
  </si>
  <si>
    <t xml:space="preserve">Syndrome de souffrance du nouveau-né
Syndrome fébrile</t>
  </si>
  <si>
    <t xml:space="preserve">pat_vih</t>
  </si>
  <si>
    <t xml:space="preserve">VIH, sida, séropositivité</t>
  </si>
  <si>
    <t xml:space="preserve">Virus qui détruit progressivement les défenses immunitaires et expose aux infections opportunistes. Dépistage et traitement antirétroviral encadrés par le PNLS.</t>
  </si>
  <si>
    <t xml:space="preserve">Syndrome d'altération de l'état général
Syndrome d'immunodépression
Syndrome fébrile</t>
  </si>
  <si>
    <t xml:space="preserve">pat_laryngite</t>
  </si>
  <si>
    <t xml:space="preserve">croup, laryngite sous-glottique</t>
  </si>
  <si>
    <t xml:space="preserve">Inflammation du larynx, souvent virale ; la forme sous-glottique (croup) de l'enfant donne voix rauque, toux aboyante et parfois gêne respiratoire par rétrécissement des voies aériennes.</t>
  </si>
  <si>
    <t xml:space="preserve">Syndrome fébrile
Syndrome laryngé</t>
  </si>
  <si>
    <t xml:space="preserve">pat_leptospirose</t>
  </si>
  <si>
    <t xml:space="preserve">Leptospirose</t>
  </si>
  <si>
    <t xml:space="preserve">maladie de Weil</t>
  </si>
  <si>
    <t xml:space="preserve">Infection bactérienne transmise par l'eau ou l'urine de rongeurs, associant fièvre, courbatures, ictère et parfois atteinte rénale.</t>
  </si>
  <si>
    <t xml:space="preserve">Syndrome algique diffus
Syndrome fébrile
Syndrome ictérique</t>
  </si>
  <si>
    <t xml:space="preserve">pat_loase</t>
  </si>
  <si>
    <t xml:space="preserve">Loase</t>
  </si>
  <si>
    <t xml:space="preserve">Loa loa, ver de l'œil</t>
  </si>
  <si>
    <t xml:space="preserve">Filariose des zones forestières transmise par une mouche (chrysops), avec démangeaisons, gonflements fugaces et passage du ver sous la conjonctive.</t>
  </si>
  <si>
    <t xml:space="preserve">Syndrome cutané prurigineux
Syndrome oculaire</t>
  </si>
  <si>
    <t xml:space="preserve">pat_lepre</t>
  </si>
  <si>
    <t xml:space="preserve">maladie de Hansen</t>
  </si>
  <si>
    <t xml:space="preserve">Infection bactérienne chronique donnant des taches cutanées insensibles et une atteinte des nerfs. Curable ; un retard de traitement laisse des séquelles.</t>
  </si>
  <si>
    <t xml:space="preserve">pat_malnutrition</t>
  </si>
  <si>
    <t xml:space="preserve">marasme, kwashiorkor, MAS</t>
  </si>
  <si>
    <t xml:space="preserve">Déficit nutritionnel grave de l'enfant qui affaiblit l'immunité et aggrave les autres maladies. Urgence pédiatrique fréquente en Côte d'Ivoire.</t>
  </si>
  <si>
    <t xml:space="preserve">Syndrome anémique
Syndrome de malnutrition</t>
  </si>
  <si>
    <t xml:space="preserve">pat_mpox</t>
  </si>
  <si>
    <t xml:space="preserve">Mpox</t>
  </si>
  <si>
    <t xml:space="preserve">variole simienne, monkeypox</t>
  </si>
  <si>
    <t xml:space="preserve">Maladie virale émergente donnant fièvre, éruption vésiculo-pustuleuse et ganglions. Transmission par contact rapproché.</t>
  </si>
  <si>
    <t xml:space="preserve">Syndrome fébrile
Syndrome éruptif fébrile</t>
  </si>
  <si>
    <t xml:space="preserve">pat_meningite</t>
  </si>
  <si>
    <t xml:space="preserve">méningite</t>
  </si>
  <si>
    <t xml:space="preserve">Infection des enveloppes du cerveau. Urgence vitale : traitement immédiat. La Côte d'Ivoire est en bordure de la « ceinture de la méningite ».</t>
  </si>
  <si>
    <t xml:space="preserve">Syndrome fébrile
Syndrome méningé
Syndrome neurologique fébrile</t>
  </si>
  <si>
    <t xml:space="preserve">pat_onchocercose</t>
  </si>
  <si>
    <t xml:space="preserve">Onchocercose (cécité des rivières)</t>
  </si>
  <si>
    <t xml:space="preserve">cécité des rivières</t>
  </si>
  <si>
    <t xml:space="preserve">Maladie parasitaire transmise par la simulie, provoquant démangeaisons, nodules et atteinte des yeux pouvant mener à la cécité.</t>
  </si>
  <si>
    <t xml:space="preserve">pat_oreillons</t>
  </si>
  <si>
    <t xml:space="preserve">parotidite ourlienne</t>
  </si>
  <si>
    <t xml:space="preserve">Maladie virale donnant un gonflement douloureux des glandes salivaires (joues). Évitable par la vaccination (ROR).</t>
  </si>
  <si>
    <t xml:space="preserve">Syndrome fébrile
Syndrome parotidien</t>
  </si>
  <si>
    <t xml:space="preserve">pat_otite</t>
  </si>
  <si>
    <t xml:space="preserve">Otite moyenne aiguë</t>
  </si>
  <si>
    <t xml:space="preserve">otite</t>
  </si>
  <si>
    <t xml:space="preserve">Infection de l'oreille moyenne, fréquente et douloureuse chez l'enfant, souvent fébrile.</t>
  </si>
  <si>
    <t xml:space="preserve">Syndrome ORL douloureux
Syndrome fébrile</t>
  </si>
  <si>
    <t xml:space="preserve">pat_paludisme</t>
  </si>
  <si>
    <t xml:space="preserve">Paludisme</t>
  </si>
  <si>
    <t xml:space="preserve">palu, malaria</t>
  </si>
  <si>
    <t xml:space="preserve">Infection parasitaire transmise par le moustique Anophèle. Première cause de fièvre et de consultation en Côte d'Ivoire. La forme grave (neuropaludisme, anémie sévère) est une urgence.</t>
  </si>
  <si>
    <t xml:space="preserve">Syndrome anémique
Syndrome digestif fébrile
Syndrome fébrile
Syndrome ictérique
Syndrome neurologique fébrile</t>
  </si>
  <si>
    <t xml:space="preserve">pat_pian</t>
  </si>
  <si>
    <t xml:space="preserve">Pian</t>
  </si>
  <si>
    <t xml:space="preserve">tréponématose endémique</t>
  </si>
  <si>
    <t xml:space="preserve">Infection bactérienne de la peau et des os de l'enfant (tréponématose), transmise par contact. Maladie tropicale négligée ciblée par l'élimination.</t>
  </si>
  <si>
    <t xml:space="preserve">pat_pneumonie</t>
  </si>
  <si>
    <t xml:space="preserve">Pneumonie de l'enfant</t>
  </si>
  <si>
    <t xml:space="preserve">infection respiratoire basse, IRA</t>
  </si>
  <si>
    <t xml:space="preserve">Infection aiguë des poumons, une des premières causes de décès de l'enfant. Signe d'alerte : respiration rapide.</t>
  </si>
  <si>
    <t xml:space="preserve">Syndrome fébrile
Syndrome respiratoire aigu</t>
  </si>
  <si>
    <t xml:space="preserve">pat_poliomyelite</t>
  </si>
  <si>
    <t xml:space="preserve">polio</t>
  </si>
  <si>
    <t xml:space="preserve">Infection virale pouvant provoquer une paralysie définitive d'un membre. Évitable par la vaccination.</t>
  </si>
  <si>
    <t xml:space="preserve">Syndrome de paralysie flasque
Syndrome fébrile</t>
  </si>
  <si>
    <t xml:space="preserve">pat_prematurite</t>
  </si>
  <si>
    <t xml:space="preserve">Prématurité / faible poids de naissance</t>
  </si>
  <si>
    <t xml:space="preserve">prématuré, petit poids</t>
  </si>
  <si>
    <t xml:space="preserve">Naissance avant terme ou petit poids, exposant le nouveau-né aux difficultés respiratoires, à l'hypothermie et aux infections. Première cause de décès néonatal.</t>
  </si>
  <si>
    <t xml:space="preserve">pat_rage</t>
  </si>
  <si>
    <t xml:space="preserve">Rage</t>
  </si>
  <si>
    <t xml:space="preserve">rage</t>
  </si>
  <si>
    <t xml:space="preserve">Maladie virale transmise par morsure animale (surtout le chien). Une fois les signes déclarés, l'issue est presque toujours fatale : la prévention après morsure est essentielle.</t>
  </si>
  <si>
    <t xml:space="preserve">Syndrome neuro-comportemental
Syndrome neurologique fébrile</t>
  </si>
  <si>
    <t xml:space="preserve">pat_raa</t>
  </si>
  <si>
    <t xml:space="preserve">Rhumatisme articulaire aigu (RAA)</t>
  </si>
  <si>
    <t xml:space="preserve">RAA</t>
  </si>
  <si>
    <t xml:space="preserve">Complication d'une angine à streptocoque touchant les articulations et surtout le cœur. Fréquent chez l'enfant en zone tropicale. À partager avec la cardiologie.</t>
  </si>
  <si>
    <t xml:space="preserve">pat_rougeole</t>
  </si>
  <si>
    <t xml:space="preserve">Rougeole</t>
  </si>
  <si>
    <t xml:space="preserve">rougeole</t>
  </si>
  <si>
    <t xml:space="preserve">Maladie virale très contagieuse de l'enfant : fièvre, éruption et catarrhe. Grave chez le jeune enfant dénutri ; évitable par la vaccination.</t>
  </si>
  <si>
    <t xml:space="preserve">Syndrome digestif fébrile
Syndrome fébrile
Syndrome neurologique fébrile
Syndrome respiratoire aigu
Syndrome éruptif fébrile</t>
  </si>
  <si>
    <t xml:space="preserve">pat_schistosomiase</t>
  </si>
  <si>
    <t xml:space="preserve">bilharziose, schisto</t>
  </si>
  <si>
    <t xml:space="preserve">Maladie parasitaire liée aux eaux douces contaminées. La forme urinaire donne du sang dans les urines ; la forme intestinale des troubles digestifs.</t>
  </si>
  <si>
    <t xml:space="preserve">pat_syphilis</t>
  </si>
  <si>
    <t xml:space="preserve">Syphilis</t>
  </si>
  <si>
    <t xml:space="preserve">tréponème pâle, IST</t>
  </si>
  <si>
    <t xml:space="preserve">Infection sexuellement transmissible bactérienne évoluant par étapes : chancre, puis éruption, puis atteintes tardives. Curable par antibiotiques.</t>
  </si>
  <si>
    <t xml:space="preserve">Syndrome d'IST (uro-génital)
Syndrome éruptif fébrile</t>
  </si>
  <si>
    <t xml:space="preserve">pat_teigne</t>
  </si>
  <si>
    <t xml:space="preserve">Teigne du cuir chevelu</t>
  </si>
  <si>
    <t xml:space="preserve">dermatophytose, dartre</t>
  </si>
  <si>
    <t xml:space="preserve">Infection de la peau et des cheveux par un champignon, fréquente chez l'enfant : plaques et démangeaisons du cuir chevelu.</t>
  </si>
  <si>
    <t xml:space="preserve">pat_trachome</t>
  </si>
  <si>
    <t xml:space="preserve">Trachome</t>
  </si>
  <si>
    <t xml:space="preserve">conjonctivite granuleuse</t>
  </si>
  <si>
    <t xml:space="preserve">Infection oculaire bactérienne à répétition, première cause infectieuse de cécité dans le monde. Maladie tropicale négligée.</t>
  </si>
  <si>
    <t xml:space="preserve">pat_tha</t>
  </si>
  <si>
    <t xml:space="preserve">Trypanosomiase humaine africaine</t>
  </si>
  <si>
    <t xml:space="preserve">maladie du sommeil</t>
  </si>
  <si>
    <t xml:space="preserve">Maladie parasitaire transmise par la mouche tsé-tsé, évoluant vers une atteinte du cerveau (troubles du sommeil et du comportement) mortelle sans traitement.</t>
  </si>
  <si>
    <t xml:space="preserve">Syndrome d'altération de l'état général
Syndrome fébrile
Syndrome lymphatique
Syndrome neuro-comportemental</t>
  </si>
  <si>
    <t xml:space="preserve">pat_tuberculose</t>
  </si>
  <si>
    <t xml:space="preserve">Tuberculose</t>
  </si>
  <si>
    <t xml:space="preserve">TB, BK, phtisie</t>
  </si>
  <si>
    <t xml:space="preserve">Infection bactérienne (bacille de Koch) touchant surtout les poumons. Une toux de plus de 2-3 semaines avec amaigrissement et sueurs nocturnes doit y faire penser. Programme national dédié (PNLT).</t>
  </si>
  <si>
    <t xml:space="preserve">Syndrome d'altération de l'état général
Syndrome fébrile
Syndrome respiratoire chronique</t>
  </si>
  <si>
    <t xml:space="preserve">pat_tetanos</t>
  </si>
  <si>
    <t xml:space="preserve">Tétanos</t>
  </si>
  <si>
    <t xml:space="preserve">tétanos</t>
  </si>
  <si>
    <t xml:space="preserve">Maladie due à une toxine bactérienne pénétrant par une plaie souillée, provoquant contractures et spasmes musculaires. Évitable par la vaccination.</t>
  </si>
  <si>
    <t xml:space="preserve">pat_tetanos_neonatal</t>
  </si>
  <si>
    <t xml:space="preserve">Tétanos néonatal</t>
  </si>
  <si>
    <t xml:space="preserve">tétanos du nouveau-né</t>
  </si>
  <si>
    <t xml:space="preserve">Tétanos du nouveau-né contracté par des soins du cordon non stériles : refus de téter puis spasmes. Évitable par la vaccination de la mère.</t>
  </si>
  <si>
    <t xml:space="preserve">Syndrome de souffrance du nouveau-né
Syndrome de spasmes musculaires</t>
  </si>
  <si>
    <t xml:space="preserve">pat_buruli</t>
  </si>
  <si>
    <t xml:space="preserve">Ulcère de Buruli</t>
  </si>
  <si>
    <t xml:space="preserve">Mycobacterium ulcerans</t>
  </si>
  <si>
    <t xml:space="preserve">Infection cutanée donnant un nodule puis un ulcère creusant, généralement indolore. La Côte d'Ivoire est l'un des pays les plus touchés au monde.</t>
  </si>
  <si>
    <t xml:space="preserve">pat_varicelle</t>
  </si>
  <si>
    <t xml:space="preserve">Varicelle</t>
  </si>
  <si>
    <t xml:space="preserve">picote</t>
  </si>
  <si>
    <t xml:space="preserve">Maladie virale très contagieuse de l'enfant : éruption de vésicules qui démangent, avec fièvre modérée.</t>
  </si>
  <si>
    <t xml:space="preserve">Syndrome cutané prurigineux
Syndrome éruptif fébrile</t>
  </si>
  <si>
    <t xml:space="preserve">spe_infectiologie</t>
  </si>
  <si>
    <t xml:space="preserve">Domaine des maladies causées par des agents infectieux : parasites, bactéries, virus. Spécialité centrale dans le contexte ivoirien.</t>
  </si>
  <si>
    <t xml:space="preserve">Amibiase
Bronchiolite du nourrisson
COVID-19
Chikungunya
Choléra
Coqueluche
Dengue
Diphtérie
Filariose lymphatique
Fièvre de Lassa
Fièvre jaune
Fièvre typhoïde
Gale
Gastro-entérite aiguë
Gonococcie
Grippe
Géohelminthiases
Hépatite virale B
Impétigo
Infection néonatale (sepsis)
Infection à VIH / sida
Laryngite aiguë
Leptospirose
Loase
Lèpre (maladie de Hansen)
Mpox
Méningite bactérienne
Onchocercose (cécité des rivières)
Oreillons
Otite moyenne aiguë
Paludisme
Pian
Pneumonie de l'enfant
Poliomyélite
Rage
Rougeole
Schistosomiase (bilharziose)
Syphilis
Teigne du cuir chevelu
Trachome
Trypanosomiase humaine africaine
Tuberculose
Tétanos
Tétanos néonatal
Ulcère de Buruli
Varicelle</t>
  </si>
  <si>
    <t xml:space="preserve">spe_pediatrie</t>
  </si>
  <si>
    <t xml:space="preserve">Médecine de l'enfant, du nouveau-né à l'adolescent. En Côte d'Ivoire, elle concentre une grande part de la mortalité évitable : paludisme, diarrhées, pneumonies, malnutrition, souffrance néonatale.</t>
  </si>
  <si>
    <t xml:space="preserve">Anémie carentielle de l'enfant
Asphyxie néonatale
Bronchiolite du nourrisson
Choléra
Convulsions fébriles
Coqueluche
Diphtérie
Drépanocytose
Fièvre typhoïde
Gastro-entérite aiguë
Géohelminthiases
Ictère néonatal
Impétigo
Infection néonatale (sepsis)
Infection à VIH / sida
Laryngite aiguë
Malnutrition aiguë sévère
Méningite bactérienne
Oreillons
Otite moyenne aiguë
Paludisme
Pneumonie de l'enfant
Poliomyélite
Prématurité / faible poids de naissance
Rhumatisme articulaire aigu (RAA)
Rougeole
Teigne du cuir chevelu
Tuberculose
Tétanos
Tétanos néonatal
Varicelle</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</si>
</sst>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4"/>
      <color rgb="FF0E5C63"/>
      <name val="Arial"/>
      <family val="0"/>
      <charset val="1"/>
    </font>
    <font>
      <b val="true"/>
      <sz val="10"/>
      <name val="Arial"/>
      <family val="0"/>
      <charset val="1"/>
    </font>
    <font>
      <sz val="10"/>
      <name val="Arial"/>
      <family val="0"/>
      <charset val="1"/>
    </font>
    <font>
      <i val="true"/>
      <sz val="9"/>
      <color rgb="FF5C6B6A"/>
      <name val="Arial"/>
      <family val="0"/>
      <charset val="1"/>
    </font>
    <font>
      <b val="true"/>
      <sz val="10"/>
      <color rgb="FFFFFFFF"/>
      <name val="Arial"/>
      <family val="0"/>
      <charset val="1"/>
    </font>
  </fonts>
  <fills count="5">
    <fill>
      <patternFill patternType="none"/>
    </fill>
    <fill>
      <patternFill patternType="gray125"/>
    </fill>
    <fill>
      <patternFill patternType="solid">
        <fgColor rgb="FFFFF6D6"/>
        <bgColor rgb="FFFCEFD2"/>
      </patternFill>
    </fill>
    <fill>
      <patternFill patternType="solid">
        <fgColor rgb="FF0E5C63"/>
        <bgColor rgb="FF008080"/>
      </patternFill>
    </fill>
    <fill>
      <patternFill patternType="solid">
        <fgColor rgb="FFFCEFD2"/>
        <bgColor rgb="FFFFF6D6"/>
      </patternFill>
    </fill>
  </fills>
  <borders count="2">
    <border diagonalUp="false" diagonalDown="false">
      <left/>
      <right/>
      <top/>
      <bottom/>
      <diagonal/>
    </border>
    <border diagonalUp="false" diagonalDown="false">
      <left style="thin">
        <color rgb="FFE1E8E7"/>
      </left>
      <right style="thin">
        <color rgb="FFE1E8E7"/>
      </right>
      <top style="thin">
        <color rgb="FFE1E8E7"/>
      </top>
      <bottom style="thin">
        <color rgb="FFE1E8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0E5C63"/>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5C63"/>
      <rgbColor rgb="FFC0C0C0"/>
      <rgbColor rgb="FF808080"/>
      <rgbColor rgb="FF9999FF"/>
      <rgbColor rgb="FF993366"/>
      <rgbColor rgb="FFFFF6D6"/>
      <rgbColor rgb="FFE1E8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FD2"/>
      <rgbColor rgb="FF99CCFF"/>
      <rgbColor rgb="FFFF99CC"/>
      <rgbColor rgb="FFCC99FF"/>
      <rgbColor rgb="FFFFCC99"/>
      <rgbColor rgb="FF3366FF"/>
      <rgbColor rgb="FF33CCCC"/>
      <rgbColor rgb="FF99CC00"/>
      <rgbColor rgb="FFFFCC00"/>
      <rgbColor rgb="FFFF9900"/>
      <rgbColor rgb="FFFF6600"/>
      <rgbColor rgb="FF5C6B6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23.8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23.8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row r="10" customFormat="false" ht="23.85" hidden="false" customHeight="false" outlineLevel="0" collapsed="false">
      <c r="A10" s="2" t="s">
        <v>15</v>
      </c>
      <c r="B10" s="3" t="s">
        <v>16</v>
      </c>
    </row>
    <row r="12" customFormat="false" ht="15" hidden="false" customHeight="false" outlineLevel="0" collapsed="false">
      <c r="A12" s="4" t="s">
        <v>17</v>
      </c>
    </row>
    <row r="13" customFormat="false" ht="15" hidden="false" customHeight="false" outlineLevel="0" collapsed="false">
      <c r="A13" s="4" t="s">
        <v>18</v>
      </c>
      <c r="B13" s="3" t="s">
        <v>19</v>
      </c>
    </row>
    <row r="14" customFormat="false" ht="15" hidden="false" customHeight="false" outlineLevel="0" collapsed="false">
      <c r="A14" s="4" t="s">
        <v>20</v>
      </c>
      <c r="B14" s="3" t="s">
        <v>21</v>
      </c>
    </row>
    <row r="15" customFormat="false" ht="15" hidden="false" customHeight="false" outlineLevel="0" collapsed="false">
      <c r="A15" s="4" t="s">
        <v>22</v>
      </c>
      <c r="B15" s="3" t="s">
        <v>23</v>
      </c>
    </row>
    <row r="16" customFormat="false" ht="15" hidden="false" customHeight="false" outlineLevel="0" collapsed="false">
      <c r="A16" s="4" t="s">
        <v>7</v>
      </c>
      <c r="B16" s="5" t="s">
        <v>24</v>
      </c>
    </row>
    <row r="17" customFormat="false" ht="23.85" hidden="false" customHeight="false" outlineLevel="0" collapsed="false">
      <c r="A17" s="4" t="s">
        <v>25</v>
      </c>
      <c r="B17" s="5" t="s">
        <v>26</v>
      </c>
    </row>
    <row r="19" customFormat="false" ht="15" hidden="false" customHeight="false" outlineLevel="0" collapsed="false">
      <c r="A19" s="4" t="s">
        <v>27</v>
      </c>
      <c r="B19" s="6"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4" min="3" style="0" width="9"/>
    <col collapsed="false" customWidth="true" hidden="false" outlineLevel="0" max="5" min="5" style="0" width="12"/>
    <col collapsed="false" customWidth="true" hidden="false" outlineLevel="0" max="6" min="6" style="0" width="11"/>
    <col collapsed="false" customWidth="true" hidden="false" outlineLevel="0" max="7" min="7" style="0" width="13"/>
  </cols>
  <sheetData>
    <row r="1" customFormat="false" ht="17.35" hidden="false" customHeight="false" outlineLevel="0" collapsed="false">
      <c r="A1" s="1" t="s">
        <v>29</v>
      </c>
    </row>
    <row r="3" customFormat="false" ht="15" hidden="false" customHeight="false" outlineLevel="0" collapsed="false">
      <c r="A3" s="7" t="s">
        <v>30</v>
      </c>
      <c r="B3" s="7" t="s">
        <v>31</v>
      </c>
      <c r="C3" s="7" t="s">
        <v>32</v>
      </c>
      <c r="D3" s="7" t="s">
        <v>33</v>
      </c>
      <c r="E3" s="7" t="s">
        <v>24</v>
      </c>
      <c r="F3" s="7" t="s">
        <v>34</v>
      </c>
      <c r="G3" s="7" t="s">
        <v>13</v>
      </c>
    </row>
    <row r="4" customFormat="false" ht="15" hidden="false" customHeight="false" outlineLevel="0" collapsed="false">
      <c r="A4" s="8" t="s">
        <v>35</v>
      </c>
      <c r="B4" s="8" t="n">
        <f aca="false">ROWS('À valider'!$E$2:$E$36)</f>
        <v>35</v>
      </c>
      <c r="C4" s="8" t="n">
        <f aca="false">COUNTIF('À valider'!$E$2:$E$36,"Oui")</f>
        <v>0</v>
      </c>
      <c r="D4" s="8" t="n">
        <f aca="false">COUNTIF('À valider'!$E$2:$E$36,"Non")</f>
        <v>0</v>
      </c>
      <c r="E4" s="8" t="n">
        <f aca="false">COUNTIF('À valider'!$E$2:$E$36,"À modifier")</f>
        <v>0</v>
      </c>
      <c r="F4" s="8" t="n">
        <f aca="false">B4-C4-D4-E4</f>
        <v>35</v>
      </c>
      <c r="G4" s="9" t="n">
        <f aca="false">IF(B4=0,0,(C4+D4+E4)/B4)</f>
        <v>0</v>
      </c>
    </row>
    <row r="5" customFormat="false" ht="15" hidden="false" customHeight="false" outlineLevel="0" collapsed="false">
      <c r="A5" s="8" t="s">
        <v>36</v>
      </c>
      <c r="B5" s="8" t="n">
        <f aca="false">ROWS(Signes!$F$2:$F$72)</f>
        <v>71</v>
      </c>
      <c r="C5" s="8" t="n">
        <f aca="false">COUNTIF(Signes!$F$2:$F$72,"Oui")</f>
        <v>0</v>
      </c>
      <c r="D5" s="8" t="n">
        <f aca="false">COUNTIF(Signes!$F$2:$F$72,"Non")</f>
        <v>0</v>
      </c>
      <c r="E5" s="8" t="n">
        <f aca="false">COUNTIF(Signes!$F$2:$F$72,"À modifier")</f>
        <v>0</v>
      </c>
      <c r="F5" s="8" t="n">
        <f aca="false">B5-C5-D5-E5</f>
        <v>71</v>
      </c>
      <c r="G5" s="9" t="n">
        <f aca="false">IF(B5=0,0,(C5+D5+E5)/B5)</f>
        <v>0</v>
      </c>
    </row>
    <row r="6" customFormat="false" ht="15" hidden="false" customHeight="false" outlineLevel="0" collapsed="false">
      <c r="A6" s="8" t="s">
        <v>37</v>
      </c>
      <c r="B6" s="8" t="n">
        <f aca="false">ROWS(Syndromes!$G$2:$G$31)</f>
        <v>30</v>
      </c>
      <c r="C6" s="8" t="n">
        <f aca="false">COUNTIF(Syndromes!$G$2:$G$31,"Oui")</f>
        <v>0</v>
      </c>
      <c r="D6" s="8" t="n">
        <f aca="false">COUNTIF(Syndromes!$G$2:$G$31,"Non")</f>
        <v>0</v>
      </c>
      <c r="E6" s="8" t="n">
        <f aca="false">COUNTIF(Syndromes!$G$2:$G$31,"À modifier")</f>
        <v>0</v>
      </c>
      <c r="F6" s="8" t="n">
        <f aca="false">B6-C6-D6-E6</f>
        <v>30</v>
      </c>
      <c r="G6" s="9" t="n">
        <f aca="false">IF(B6=0,0,(C6+D6+E6)/B6)</f>
        <v>0</v>
      </c>
    </row>
    <row r="7" customFormat="false" ht="15" hidden="false" customHeight="false" outlineLevel="0" collapsed="false">
      <c r="A7" s="8" t="s">
        <v>38</v>
      </c>
      <c r="B7" s="8" t="n">
        <f aca="false">ROWS(Pathologies!$H$2:$H$55)</f>
        <v>54</v>
      </c>
      <c r="C7" s="8" t="n">
        <f aca="false">COUNTIF(Pathologies!$H$2:$H$55,"Oui")</f>
        <v>0</v>
      </c>
      <c r="D7" s="8" t="n">
        <f aca="false">COUNTIF(Pathologies!$H$2:$H$55,"Non")</f>
        <v>0</v>
      </c>
      <c r="E7" s="8" t="n">
        <f aca="false">COUNTIF(Pathologies!$H$2:$H$55,"À modifier")</f>
        <v>0</v>
      </c>
      <c r="F7" s="8" t="n">
        <f aca="false">B7-C7-D7-E7</f>
        <v>54</v>
      </c>
      <c r="G7" s="9" t="n">
        <f aca="false">IF(B7=0,0,(C7+D7+E7)/B7)</f>
        <v>0</v>
      </c>
    </row>
    <row r="8" customFormat="false" ht="15" hidden="false" customHeight="false" outlineLevel="0" collapsed="false">
      <c r="A8" s="8" t="s">
        <v>39</v>
      </c>
      <c r="B8" s="8" t="n">
        <f aca="false">ROWS(Spécialités!$F$2:$F$3)</f>
        <v>2</v>
      </c>
      <c r="C8" s="8" t="n">
        <f aca="false">COUNTIF(Spécialités!$F$2:$F$3,"Oui")</f>
        <v>0</v>
      </c>
      <c r="D8" s="8" t="n">
        <f aca="false">COUNTIF(Spécialités!$F$2:$F$3,"Non")</f>
        <v>0</v>
      </c>
      <c r="E8" s="8" t="n">
        <f aca="false">COUNTIF(Spécialités!$F$2:$F$3,"À modifier")</f>
        <v>0</v>
      </c>
      <c r="F8" s="8" t="n">
        <f aca="false">B8-C8-D8-E8</f>
        <v>2</v>
      </c>
      <c r="G8" s="9" t="n">
        <f aca="false">IF(B8=0,0,(C8+D8+E8)/B8)</f>
        <v>0</v>
      </c>
    </row>
    <row r="9" customFormat="false" ht="15" hidden="false" customHeight="false" outlineLevel="0" collapsed="false">
      <c r="A9" s="10" t="s">
        <v>40</v>
      </c>
      <c r="B9" s="10" t="n">
        <f aca="false">SUM(B4:B8)</f>
        <v>192</v>
      </c>
      <c r="C9" s="10" t="n">
        <f aca="false">SUM(C4:C8)</f>
        <v>0</v>
      </c>
      <c r="D9" s="10" t="n">
        <f aca="false">SUM(D4:D8)</f>
        <v>0</v>
      </c>
      <c r="E9" s="10" t="n">
        <f aca="false">SUM(E4:E8)</f>
        <v>0</v>
      </c>
      <c r="F9" s="10" t="n">
        <f aca="false">SUM(F4:F8)</f>
        <v>192</v>
      </c>
      <c r="G9" s="11" t="n">
        <f aca="false">IF(B9=0,0,(C9+D9+E9)/B9)</f>
        <v>0</v>
      </c>
    </row>
    <row r="11" customFormat="false" ht="15" hidden="false" customHeight="false" outlineLevel="0" collapsed="false">
      <c r="A11" s="12"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2"/>
    <col collapsed="false" customWidth="true" hidden="false" outlineLevel="0" max="4" min="4" style="0" width="60"/>
    <col collapsed="false" customWidth="true" hidden="false" outlineLevel="0" max="5" min="5" style="0" width="13"/>
    <col collapsed="false" customWidth="true" hidden="false" outlineLevel="0" max="6" min="6" style="0" width="50"/>
  </cols>
  <sheetData>
    <row r="1" customFormat="false" ht="15" hidden="false" customHeight="false" outlineLevel="0" collapsed="false">
      <c r="A1" s="13" t="s">
        <v>18</v>
      </c>
      <c r="B1" s="13" t="s">
        <v>42</v>
      </c>
      <c r="C1" s="13" t="s">
        <v>20</v>
      </c>
      <c r="D1" s="13" t="s">
        <v>22</v>
      </c>
      <c r="E1" s="13" t="s">
        <v>7</v>
      </c>
      <c r="F1" s="13" t="s">
        <v>25</v>
      </c>
    </row>
    <row r="2" customFormat="false" ht="35.05" hidden="false" customHeight="false" outlineLevel="0" collapsed="false">
      <c r="A2" s="14" t="s">
        <v>43</v>
      </c>
      <c r="B2" s="14" t="s">
        <v>44</v>
      </c>
      <c r="C2" s="14" t="s">
        <v>45</v>
      </c>
      <c r="D2" s="14" t="s">
        <v>46</v>
      </c>
      <c r="E2" s="15"/>
      <c r="F2" s="15"/>
    </row>
    <row r="3" customFormat="false" ht="35.05" hidden="false" customHeight="false" outlineLevel="0" collapsed="false">
      <c r="A3" s="14" t="s">
        <v>43</v>
      </c>
      <c r="B3" s="14" t="s">
        <v>47</v>
      </c>
      <c r="C3" s="14" t="s">
        <v>48</v>
      </c>
      <c r="D3" s="14" t="s">
        <v>49</v>
      </c>
      <c r="E3" s="15"/>
      <c r="F3" s="15"/>
    </row>
    <row r="4" customFormat="false" ht="35.05" hidden="false" customHeight="false" outlineLevel="0" collapsed="false">
      <c r="A4" s="14" t="s">
        <v>43</v>
      </c>
      <c r="B4" s="14" t="s">
        <v>50</v>
      </c>
      <c r="C4" s="14" t="s">
        <v>51</v>
      </c>
      <c r="D4" s="14" t="s">
        <v>52</v>
      </c>
      <c r="E4" s="15"/>
      <c r="F4" s="15"/>
    </row>
    <row r="5" customFormat="false" ht="35.05" hidden="false" customHeight="false" outlineLevel="0" collapsed="false">
      <c r="A5" s="14" t="s">
        <v>43</v>
      </c>
      <c r="B5" s="14" t="s">
        <v>53</v>
      </c>
      <c r="C5" s="14" t="s">
        <v>54</v>
      </c>
      <c r="D5" s="14" t="s">
        <v>55</v>
      </c>
      <c r="E5" s="15"/>
      <c r="F5" s="15"/>
    </row>
    <row r="6" customFormat="false" ht="35.05" hidden="false" customHeight="false" outlineLevel="0" collapsed="false">
      <c r="A6" s="14" t="s">
        <v>43</v>
      </c>
      <c r="B6" s="14" t="s">
        <v>56</v>
      </c>
      <c r="C6" s="14" t="s">
        <v>57</v>
      </c>
      <c r="D6" s="14" t="s">
        <v>58</v>
      </c>
      <c r="E6" s="15"/>
      <c r="F6" s="15"/>
    </row>
    <row r="7" customFormat="false" ht="35.05" hidden="false" customHeight="false" outlineLevel="0" collapsed="false">
      <c r="A7" s="14" t="s">
        <v>43</v>
      </c>
      <c r="B7" s="14" t="s">
        <v>59</v>
      </c>
      <c r="C7" s="14" t="s">
        <v>60</v>
      </c>
      <c r="D7" s="14" t="s">
        <v>61</v>
      </c>
      <c r="E7" s="15"/>
      <c r="F7" s="15"/>
    </row>
    <row r="8" customFormat="false" ht="23.85" hidden="false" customHeight="false" outlineLevel="0" collapsed="false">
      <c r="A8" s="14" t="s">
        <v>43</v>
      </c>
      <c r="B8" s="14" t="s">
        <v>62</v>
      </c>
      <c r="C8" s="14" t="s">
        <v>63</v>
      </c>
      <c r="D8" s="14" t="s">
        <v>64</v>
      </c>
      <c r="E8" s="15"/>
      <c r="F8" s="15"/>
    </row>
    <row r="9" customFormat="false" ht="35.05" hidden="false" customHeight="false" outlineLevel="0" collapsed="false">
      <c r="A9" s="14" t="s">
        <v>43</v>
      </c>
      <c r="B9" s="14" t="s">
        <v>65</v>
      </c>
      <c r="C9" s="14" t="s">
        <v>66</v>
      </c>
      <c r="D9" s="14" t="s">
        <v>67</v>
      </c>
      <c r="E9" s="15"/>
      <c r="F9" s="15"/>
    </row>
    <row r="10" customFormat="false" ht="35.05" hidden="false" customHeight="false" outlineLevel="0" collapsed="false">
      <c r="A10" s="14" t="s">
        <v>43</v>
      </c>
      <c r="B10" s="14" t="s">
        <v>68</v>
      </c>
      <c r="C10" s="14" t="s">
        <v>69</v>
      </c>
      <c r="D10" s="14" t="s">
        <v>70</v>
      </c>
      <c r="E10" s="15"/>
      <c r="F10" s="15"/>
    </row>
    <row r="11" customFormat="false" ht="35.05" hidden="false" customHeight="false" outlineLevel="0" collapsed="false">
      <c r="A11" s="14" t="s">
        <v>43</v>
      </c>
      <c r="B11" s="14" t="s">
        <v>71</v>
      </c>
      <c r="C11" s="14" t="s">
        <v>72</v>
      </c>
      <c r="D11" s="14" t="s">
        <v>73</v>
      </c>
      <c r="E11" s="15"/>
      <c r="F11" s="15"/>
    </row>
    <row r="12" customFormat="false" ht="35.05" hidden="false" customHeight="false" outlineLevel="0" collapsed="false">
      <c r="A12" s="14" t="s">
        <v>43</v>
      </c>
      <c r="B12" s="14" t="s">
        <v>74</v>
      </c>
      <c r="C12" s="14" t="s">
        <v>75</v>
      </c>
      <c r="D12" s="14" t="s">
        <v>76</v>
      </c>
      <c r="E12" s="15"/>
      <c r="F12" s="15"/>
    </row>
    <row r="13" customFormat="false" ht="35.05" hidden="false" customHeight="false" outlineLevel="0" collapsed="false">
      <c r="A13" s="14" t="s">
        <v>43</v>
      </c>
      <c r="B13" s="14" t="s">
        <v>77</v>
      </c>
      <c r="C13" s="14" t="s">
        <v>78</v>
      </c>
      <c r="D13" s="14" t="s">
        <v>79</v>
      </c>
      <c r="E13" s="15"/>
      <c r="F13" s="15"/>
    </row>
    <row r="14" customFormat="false" ht="15" hidden="false" customHeight="false" outlineLevel="0" collapsed="false">
      <c r="A14" s="14" t="s">
        <v>19</v>
      </c>
      <c r="B14" s="14" t="s">
        <v>80</v>
      </c>
      <c r="C14" s="14" t="s">
        <v>81</v>
      </c>
      <c r="D14" s="14" t="s">
        <v>82</v>
      </c>
      <c r="E14" s="15"/>
      <c r="F14" s="15"/>
    </row>
    <row r="15" customFormat="false" ht="23.85" hidden="false" customHeight="false" outlineLevel="0" collapsed="false">
      <c r="A15" s="14" t="s">
        <v>19</v>
      </c>
      <c r="B15" s="14" t="s">
        <v>83</v>
      </c>
      <c r="C15" s="14" t="s">
        <v>84</v>
      </c>
      <c r="D15" s="14" t="s">
        <v>85</v>
      </c>
      <c r="E15" s="15"/>
      <c r="F15" s="15"/>
    </row>
    <row r="16" customFormat="false" ht="23.85" hidden="false" customHeight="false" outlineLevel="0" collapsed="false">
      <c r="A16" s="14" t="s">
        <v>19</v>
      </c>
      <c r="B16" s="14" t="s">
        <v>86</v>
      </c>
      <c r="C16" s="14" t="s">
        <v>87</v>
      </c>
      <c r="D16" s="14" t="s">
        <v>88</v>
      </c>
      <c r="E16" s="15"/>
      <c r="F16" s="15"/>
    </row>
    <row r="17" customFormat="false" ht="23.85" hidden="false" customHeight="false" outlineLevel="0" collapsed="false">
      <c r="A17" s="14" t="s">
        <v>19</v>
      </c>
      <c r="B17" s="14" t="s">
        <v>89</v>
      </c>
      <c r="C17" s="14" t="s">
        <v>90</v>
      </c>
      <c r="D17" s="14" t="s">
        <v>91</v>
      </c>
      <c r="E17" s="15"/>
      <c r="F17" s="15"/>
    </row>
    <row r="18" customFormat="false" ht="23.85" hidden="false" customHeight="false" outlineLevel="0" collapsed="false">
      <c r="A18" s="14" t="s">
        <v>19</v>
      </c>
      <c r="B18" s="14" t="s">
        <v>92</v>
      </c>
      <c r="C18" s="14" t="s">
        <v>93</v>
      </c>
      <c r="D18" s="14" t="s">
        <v>94</v>
      </c>
      <c r="E18" s="15"/>
      <c r="F18" s="15"/>
    </row>
    <row r="19" customFormat="false" ht="23.85" hidden="false" customHeight="false" outlineLevel="0" collapsed="false">
      <c r="A19" s="14" t="s">
        <v>19</v>
      </c>
      <c r="B19" s="14" t="s">
        <v>95</v>
      </c>
      <c r="C19" s="14" t="s">
        <v>96</v>
      </c>
      <c r="D19" s="14" t="s">
        <v>97</v>
      </c>
      <c r="E19" s="15"/>
      <c r="F19" s="15"/>
    </row>
    <row r="20" customFormat="false" ht="23.85" hidden="false" customHeight="false" outlineLevel="0" collapsed="false">
      <c r="A20" s="14" t="s">
        <v>19</v>
      </c>
      <c r="B20" s="14" t="s">
        <v>98</v>
      </c>
      <c r="C20" s="14" t="s">
        <v>99</v>
      </c>
      <c r="D20" s="14" t="s">
        <v>100</v>
      </c>
      <c r="E20" s="15"/>
      <c r="F20" s="15"/>
    </row>
    <row r="21" customFormat="false" ht="23.85" hidden="false" customHeight="false" outlineLevel="0" collapsed="false">
      <c r="A21" s="14" t="s">
        <v>19</v>
      </c>
      <c r="B21" s="14" t="s">
        <v>101</v>
      </c>
      <c r="C21" s="14" t="s">
        <v>102</v>
      </c>
      <c r="D21" s="14" t="s">
        <v>103</v>
      </c>
      <c r="E21" s="15"/>
      <c r="F21" s="15"/>
    </row>
    <row r="22" customFormat="false" ht="23.85" hidden="false" customHeight="false" outlineLevel="0" collapsed="false">
      <c r="A22" s="14" t="s">
        <v>19</v>
      </c>
      <c r="B22" s="14" t="s">
        <v>104</v>
      </c>
      <c r="C22" s="14" t="s">
        <v>105</v>
      </c>
      <c r="D22" s="14" t="s">
        <v>106</v>
      </c>
      <c r="E22" s="15"/>
      <c r="F22" s="15"/>
    </row>
    <row r="23" customFormat="false" ht="23.85" hidden="false" customHeight="false" outlineLevel="0" collapsed="false">
      <c r="A23" s="14" t="s">
        <v>19</v>
      </c>
      <c r="B23" s="14" t="s">
        <v>107</v>
      </c>
      <c r="C23" s="14" t="s">
        <v>108</v>
      </c>
      <c r="D23" s="14" t="s">
        <v>109</v>
      </c>
      <c r="E23" s="15"/>
      <c r="F23" s="15"/>
    </row>
    <row r="24" customFormat="false" ht="15" hidden="false" customHeight="false" outlineLevel="0" collapsed="false">
      <c r="A24" s="14" t="s">
        <v>19</v>
      </c>
      <c r="B24" s="14" t="s">
        <v>110</v>
      </c>
      <c r="C24" s="14" t="s">
        <v>21</v>
      </c>
      <c r="D24" s="14" t="s">
        <v>23</v>
      </c>
      <c r="E24" s="15"/>
      <c r="F24" s="15"/>
    </row>
    <row r="25" customFormat="false" ht="23.85" hidden="false" customHeight="false" outlineLevel="0" collapsed="false">
      <c r="A25" s="14" t="s">
        <v>19</v>
      </c>
      <c r="B25" s="14" t="s">
        <v>111</v>
      </c>
      <c r="C25" s="14" t="s">
        <v>112</v>
      </c>
      <c r="D25" s="14" t="s">
        <v>113</v>
      </c>
      <c r="E25" s="15"/>
      <c r="F25" s="15"/>
    </row>
    <row r="26" customFormat="false" ht="23.85" hidden="false" customHeight="false" outlineLevel="0" collapsed="false">
      <c r="A26" s="14" t="s">
        <v>19</v>
      </c>
      <c r="B26" s="14" t="s">
        <v>114</v>
      </c>
      <c r="C26" s="14" t="s">
        <v>115</v>
      </c>
      <c r="D26" s="14" t="s">
        <v>116</v>
      </c>
      <c r="E26" s="15"/>
      <c r="F26" s="15"/>
    </row>
    <row r="27" customFormat="false" ht="23.85" hidden="false" customHeight="false" outlineLevel="0" collapsed="false">
      <c r="A27" s="14" t="s">
        <v>19</v>
      </c>
      <c r="B27" s="14" t="s">
        <v>117</v>
      </c>
      <c r="C27" s="14" t="s">
        <v>118</v>
      </c>
      <c r="D27" s="14" t="s">
        <v>119</v>
      </c>
      <c r="E27" s="15"/>
      <c r="F27" s="15"/>
    </row>
    <row r="28" customFormat="false" ht="15" hidden="false" customHeight="false" outlineLevel="0" collapsed="false">
      <c r="A28" s="14" t="s">
        <v>19</v>
      </c>
      <c r="B28" s="14" t="s">
        <v>120</v>
      </c>
      <c r="C28" s="14" t="s">
        <v>121</v>
      </c>
      <c r="D28" s="14" t="s">
        <v>122</v>
      </c>
      <c r="E28" s="15"/>
      <c r="F28" s="15"/>
    </row>
    <row r="29" customFormat="false" ht="23.85" hidden="false" customHeight="false" outlineLevel="0" collapsed="false">
      <c r="A29" s="14" t="s">
        <v>19</v>
      </c>
      <c r="B29" s="14" t="s">
        <v>123</v>
      </c>
      <c r="C29" s="14" t="s">
        <v>124</v>
      </c>
      <c r="D29" s="14" t="s">
        <v>125</v>
      </c>
      <c r="E29" s="15"/>
      <c r="F29" s="15"/>
    </row>
    <row r="30" customFormat="false" ht="15" hidden="false" customHeight="false" outlineLevel="0" collapsed="false">
      <c r="A30" s="14" t="s">
        <v>19</v>
      </c>
      <c r="B30" s="14" t="s">
        <v>126</v>
      </c>
      <c r="C30" s="14" t="s">
        <v>127</v>
      </c>
      <c r="D30" s="14" t="s">
        <v>128</v>
      </c>
      <c r="E30" s="15"/>
      <c r="F30" s="15"/>
    </row>
    <row r="31" customFormat="false" ht="15" hidden="false" customHeight="false" outlineLevel="0" collapsed="false">
      <c r="A31" s="14" t="s">
        <v>19</v>
      </c>
      <c r="B31" s="14" t="s">
        <v>129</v>
      </c>
      <c r="C31" s="14" t="s">
        <v>130</v>
      </c>
      <c r="D31" s="14" t="s">
        <v>131</v>
      </c>
      <c r="E31" s="15"/>
      <c r="F31" s="15"/>
    </row>
    <row r="32" customFormat="false" ht="23.85" hidden="false" customHeight="false" outlineLevel="0" collapsed="false">
      <c r="A32" s="14" t="s">
        <v>19</v>
      </c>
      <c r="B32" s="14" t="s">
        <v>132</v>
      </c>
      <c r="C32" s="14" t="s">
        <v>133</v>
      </c>
      <c r="D32" s="14" t="s">
        <v>134</v>
      </c>
      <c r="E32" s="15"/>
      <c r="F32" s="15"/>
    </row>
    <row r="33" customFormat="false" ht="23.85" hidden="false" customHeight="false" outlineLevel="0" collapsed="false">
      <c r="A33" s="14" t="s">
        <v>19</v>
      </c>
      <c r="B33" s="14" t="s">
        <v>135</v>
      </c>
      <c r="C33" s="14" t="s">
        <v>136</v>
      </c>
      <c r="D33" s="14" t="s">
        <v>137</v>
      </c>
      <c r="E33" s="15"/>
      <c r="F33" s="15"/>
    </row>
    <row r="34" customFormat="false" ht="23.85" hidden="false" customHeight="false" outlineLevel="0" collapsed="false">
      <c r="A34" s="14" t="s">
        <v>19</v>
      </c>
      <c r="B34" s="14" t="s">
        <v>138</v>
      </c>
      <c r="C34" s="14" t="s">
        <v>139</v>
      </c>
      <c r="D34" s="14" t="s">
        <v>140</v>
      </c>
      <c r="E34" s="15"/>
      <c r="F34" s="15"/>
    </row>
    <row r="35" customFormat="false" ht="23.85" hidden="false" customHeight="false" outlineLevel="0" collapsed="false">
      <c r="A35" s="14" t="s">
        <v>19</v>
      </c>
      <c r="B35" s="14" t="s">
        <v>141</v>
      </c>
      <c r="C35" s="14" t="s">
        <v>142</v>
      </c>
      <c r="D35" s="14" t="s">
        <v>143</v>
      </c>
      <c r="E35" s="15"/>
      <c r="F35" s="15"/>
    </row>
    <row r="36" customFormat="false" ht="23.85" hidden="false" customHeight="false" outlineLevel="0" collapsed="false">
      <c r="A36" s="14" t="s">
        <v>19</v>
      </c>
      <c r="B36" s="14" t="s">
        <v>144</v>
      </c>
      <c r="C36" s="14" t="s">
        <v>145</v>
      </c>
      <c r="D36" s="14" t="s">
        <v>146</v>
      </c>
      <c r="E36" s="15"/>
      <c r="F36" s="15"/>
    </row>
  </sheetData>
  <autoFilter ref="A1:F1"/>
  <dataValidations count="1">
    <dataValidation allowBlank="true" error="Choisir Oui, Non ou À modifier." errorStyle="stop" errorTitle="Décision" operator="between" showDropDown="false" showErrorMessage="true" showInputMessage="false" sqref="E2:E36" type="list">
      <formula1>"Oui,Non,À modifier"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26"/>
    <col collapsed="false" customWidth="true" hidden="false" outlineLevel="0" max="4" min="4" style="0" width="55"/>
    <col collapsed="false" customWidth="true" hidden="false" outlineLevel="0" max="5" min="5" style="0" width="34"/>
    <col collapsed="false" customWidth="true" hidden="false" outlineLevel="0" max="6" min="6" style="0" width="13"/>
    <col collapsed="false" customWidth="true" hidden="false" outlineLevel="0" max="7" min="7" style="0" width="45"/>
  </cols>
  <sheetData>
    <row r="1" customFormat="false" ht="15" hidden="false" customHeight="false" outlineLevel="0" collapsed="false">
      <c r="A1" s="13" t="s">
        <v>42</v>
      </c>
      <c r="B1" s="13" t="s">
        <v>147</v>
      </c>
      <c r="C1" s="13" t="s">
        <v>148</v>
      </c>
      <c r="D1" s="13" t="s">
        <v>149</v>
      </c>
      <c r="E1" s="13" t="s">
        <v>150</v>
      </c>
      <c r="F1" s="13" t="s">
        <v>7</v>
      </c>
      <c r="G1" s="13" t="s">
        <v>25</v>
      </c>
    </row>
    <row r="2" customFormat="false" ht="23.85" hidden="false" customHeight="false" outlineLevel="0" collapsed="false">
      <c r="A2" s="14" t="s">
        <v>151</v>
      </c>
      <c r="B2" s="14" t="s">
        <v>152</v>
      </c>
      <c r="C2" s="14" t="s">
        <v>153</v>
      </c>
      <c r="D2" s="14" t="s">
        <v>154</v>
      </c>
      <c r="E2" s="14" t="s">
        <v>155</v>
      </c>
      <c r="F2" s="15"/>
      <c r="G2" s="15"/>
    </row>
    <row r="3" customFormat="false" ht="46.25" hidden="false" customHeight="false" outlineLevel="0" collapsed="false">
      <c r="A3" s="14" t="s">
        <v>156</v>
      </c>
      <c r="B3" s="14" t="s">
        <v>157</v>
      </c>
      <c r="C3" s="14" t="s">
        <v>158</v>
      </c>
      <c r="D3" s="14" t="s">
        <v>159</v>
      </c>
      <c r="E3" s="14" t="s">
        <v>160</v>
      </c>
      <c r="F3" s="15"/>
      <c r="G3" s="15"/>
    </row>
    <row r="4" customFormat="false" ht="23.85" hidden="false" customHeight="false" outlineLevel="0" collapsed="false">
      <c r="A4" s="14" t="s">
        <v>161</v>
      </c>
      <c r="B4" s="14" t="s">
        <v>162</v>
      </c>
      <c r="C4" s="14" t="s">
        <v>163</v>
      </c>
      <c r="D4" s="14" t="s">
        <v>164</v>
      </c>
      <c r="E4" s="14" t="s">
        <v>165</v>
      </c>
      <c r="F4" s="15"/>
      <c r="G4" s="15"/>
    </row>
    <row r="5" customFormat="false" ht="15" hidden="false" customHeight="false" outlineLevel="0" collapsed="false">
      <c r="A5" s="14" t="s">
        <v>166</v>
      </c>
      <c r="B5" s="14" t="s">
        <v>167</v>
      </c>
      <c r="C5" s="14" t="s">
        <v>168</v>
      </c>
      <c r="D5" s="14" t="s">
        <v>169</v>
      </c>
      <c r="E5" s="14" t="s">
        <v>170</v>
      </c>
      <c r="F5" s="15"/>
      <c r="G5" s="15"/>
    </row>
    <row r="6" customFormat="false" ht="35.05" hidden="false" customHeight="false" outlineLevel="0" collapsed="false">
      <c r="A6" s="14" t="s">
        <v>171</v>
      </c>
      <c r="B6" s="14" t="s">
        <v>172</v>
      </c>
      <c r="C6" s="14" t="s">
        <v>173</v>
      </c>
      <c r="D6" s="14" t="s">
        <v>174</v>
      </c>
      <c r="E6" s="14" t="s">
        <v>175</v>
      </c>
      <c r="F6" s="15"/>
      <c r="G6" s="15"/>
    </row>
    <row r="7" customFormat="false" ht="15" hidden="false" customHeight="false" outlineLevel="0" collapsed="false">
      <c r="A7" s="14" t="s">
        <v>176</v>
      </c>
      <c r="B7" s="14" t="s">
        <v>177</v>
      </c>
      <c r="C7" s="14" t="s">
        <v>178</v>
      </c>
      <c r="D7" s="14" t="s">
        <v>179</v>
      </c>
      <c r="E7" s="14" t="s">
        <v>180</v>
      </c>
      <c r="F7" s="15"/>
      <c r="G7" s="15"/>
    </row>
    <row r="8" customFormat="false" ht="23.85" hidden="false" customHeight="false" outlineLevel="0" collapsed="false">
      <c r="A8" s="14" t="s">
        <v>181</v>
      </c>
      <c r="B8" s="14" t="s">
        <v>182</v>
      </c>
      <c r="C8" s="14" t="s">
        <v>183</v>
      </c>
      <c r="D8" s="14" t="s">
        <v>184</v>
      </c>
      <c r="E8" s="14" t="s">
        <v>185</v>
      </c>
      <c r="F8" s="15"/>
      <c r="G8" s="15"/>
    </row>
    <row r="9" customFormat="false" ht="23.85" hidden="false" customHeight="false" outlineLevel="0" collapsed="false">
      <c r="A9" s="16" t="s">
        <v>47</v>
      </c>
      <c r="B9" s="16" t="s">
        <v>186</v>
      </c>
      <c r="C9" s="16" t="s">
        <v>187</v>
      </c>
      <c r="D9" s="16" t="s">
        <v>188</v>
      </c>
      <c r="E9" s="16" t="s">
        <v>189</v>
      </c>
      <c r="F9" s="15"/>
      <c r="G9" s="15"/>
    </row>
    <row r="10" customFormat="false" ht="15" hidden="false" customHeight="false" outlineLevel="0" collapsed="false">
      <c r="A10" s="14" t="s">
        <v>190</v>
      </c>
      <c r="B10" s="14" t="s">
        <v>191</v>
      </c>
      <c r="C10" s="14" t="s">
        <v>192</v>
      </c>
      <c r="D10" s="14" t="s">
        <v>193</v>
      </c>
      <c r="E10" s="14" t="s">
        <v>194</v>
      </c>
      <c r="F10" s="15"/>
      <c r="G10" s="15"/>
    </row>
    <row r="11" customFormat="false" ht="23.85" hidden="false" customHeight="false" outlineLevel="0" collapsed="false">
      <c r="A11" s="14" t="s">
        <v>195</v>
      </c>
      <c r="B11" s="14" t="s">
        <v>196</v>
      </c>
      <c r="C11" s="14" t="s">
        <v>197</v>
      </c>
      <c r="D11" s="14" t="s">
        <v>198</v>
      </c>
      <c r="E11" s="14" t="s">
        <v>199</v>
      </c>
      <c r="F11" s="15"/>
      <c r="G11" s="15"/>
    </row>
    <row r="12" customFormat="false" ht="23.85" hidden="false" customHeight="false" outlineLevel="0" collapsed="false">
      <c r="A12" s="14" t="s">
        <v>200</v>
      </c>
      <c r="B12" s="14" t="s">
        <v>201</v>
      </c>
      <c r="C12" s="14" t="s">
        <v>202</v>
      </c>
      <c r="D12" s="14" t="s">
        <v>203</v>
      </c>
      <c r="E12" s="14" t="s">
        <v>204</v>
      </c>
      <c r="F12" s="15"/>
      <c r="G12" s="15"/>
    </row>
    <row r="13" customFormat="false" ht="46.25" hidden="false" customHeight="false" outlineLevel="0" collapsed="false">
      <c r="A13" s="14" t="s">
        <v>205</v>
      </c>
      <c r="B13" s="14" t="s">
        <v>206</v>
      </c>
      <c r="C13" s="14" t="s">
        <v>207</v>
      </c>
      <c r="D13" s="14" t="s">
        <v>208</v>
      </c>
      <c r="E13" s="14" t="s">
        <v>209</v>
      </c>
      <c r="F13" s="15"/>
      <c r="G13" s="15"/>
    </row>
    <row r="14" customFormat="false" ht="35.05" hidden="false" customHeight="false" outlineLevel="0" collapsed="false">
      <c r="A14" s="14" t="s">
        <v>210</v>
      </c>
      <c r="B14" s="14" t="s">
        <v>211</v>
      </c>
      <c r="C14" s="14" t="s">
        <v>212</v>
      </c>
      <c r="D14" s="14" t="s">
        <v>213</v>
      </c>
      <c r="E14" s="14" t="s">
        <v>214</v>
      </c>
      <c r="F14" s="15"/>
      <c r="G14" s="15"/>
    </row>
    <row r="15" customFormat="false" ht="23.85" hidden="false" customHeight="false" outlineLevel="0" collapsed="false">
      <c r="A15" s="16" t="s">
        <v>44</v>
      </c>
      <c r="B15" s="16" t="s">
        <v>215</v>
      </c>
      <c r="C15" s="16" t="s">
        <v>216</v>
      </c>
      <c r="D15" s="16" t="s">
        <v>217</v>
      </c>
      <c r="E15" s="16" t="s">
        <v>189</v>
      </c>
      <c r="F15" s="15"/>
      <c r="G15" s="15"/>
    </row>
    <row r="16" customFormat="false" ht="23.85" hidden="false" customHeight="false" outlineLevel="0" collapsed="false">
      <c r="A16" s="14" t="s">
        <v>218</v>
      </c>
      <c r="B16" s="14" t="s">
        <v>219</v>
      </c>
      <c r="C16" s="14" t="s">
        <v>220</v>
      </c>
      <c r="D16" s="14" t="s">
        <v>221</v>
      </c>
      <c r="E16" s="14" t="s">
        <v>222</v>
      </c>
      <c r="F16" s="15"/>
      <c r="G16" s="15"/>
    </row>
    <row r="17" customFormat="false" ht="23.85" hidden="false" customHeight="false" outlineLevel="0" collapsed="false">
      <c r="A17" s="16" t="s">
        <v>65</v>
      </c>
      <c r="B17" s="16" t="s">
        <v>223</v>
      </c>
      <c r="C17" s="16" t="s">
        <v>224</v>
      </c>
      <c r="D17" s="16" t="s">
        <v>225</v>
      </c>
      <c r="E17" s="16" t="s">
        <v>226</v>
      </c>
      <c r="F17" s="15"/>
      <c r="G17" s="15"/>
    </row>
    <row r="18" customFormat="false" ht="23.85" hidden="false" customHeight="false" outlineLevel="0" collapsed="false">
      <c r="A18" s="16" t="s">
        <v>71</v>
      </c>
      <c r="B18" s="16" t="s">
        <v>227</v>
      </c>
      <c r="C18" s="16" t="s">
        <v>228</v>
      </c>
      <c r="D18" s="16" t="s">
        <v>229</v>
      </c>
      <c r="E18" s="16" t="s">
        <v>230</v>
      </c>
      <c r="F18" s="15"/>
      <c r="G18" s="15"/>
    </row>
    <row r="19" customFormat="false" ht="46.25" hidden="false" customHeight="false" outlineLevel="0" collapsed="false">
      <c r="A19" s="14" t="s">
        <v>231</v>
      </c>
      <c r="B19" s="14" t="s">
        <v>232</v>
      </c>
      <c r="C19" s="14" t="s">
        <v>233</v>
      </c>
      <c r="D19" s="14" t="s">
        <v>234</v>
      </c>
      <c r="E19" s="14" t="s">
        <v>235</v>
      </c>
      <c r="F19" s="15"/>
      <c r="G19" s="15"/>
    </row>
    <row r="20" customFormat="false" ht="23.85" hidden="false" customHeight="false" outlineLevel="0" collapsed="false">
      <c r="A20" s="16" t="s">
        <v>77</v>
      </c>
      <c r="B20" s="16" t="s">
        <v>236</v>
      </c>
      <c r="C20" s="16" t="s">
        <v>237</v>
      </c>
      <c r="D20" s="16" t="s">
        <v>238</v>
      </c>
      <c r="E20" s="16" t="s">
        <v>239</v>
      </c>
      <c r="F20" s="15"/>
      <c r="G20" s="15"/>
    </row>
    <row r="21" customFormat="false" ht="124.6" hidden="false" customHeight="false" outlineLevel="0" collapsed="false">
      <c r="A21" s="14" t="s">
        <v>240</v>
      </c>
      <c r="B21" s="14" t="s">
        <v>241</v>
      </c>
      <c r="C21" s="14" t="s">
        <v>242</v>
      </c>
      <c r="D21" s="14" t="s">
        <v>243</v>
      </c>
      <c r="E21" s="14" t="s">
        <v>244</v>
      </c>
      <c r="F21" s="15"/>
      <c r="G21" s="15"/>
    </row>
    <row r="22" customFormat="false" ht="23.85" hidden="false" customHeight="false" outlineLevel="0" collapsed="false">
      <c r="A22" s="16" t="s">
        <v>50</v>
      </c>
      <c r="B22" s="16" t="s">
        <v>245</v>
      </c>
      <c r="C22" s="16" t="s">
        <v>246</v>
      </c>
      <c r="D22" s="16" t="s">
        <v>247</v>
      </c>
      <c r="E22" s="16" t="s">
        <v>248</v>
      </c>
      <c r="F22" s="15"/>
      <c r="G22" s="15"/>
    </row>
    <row r="23" customFormat="false" ht="23.85" hidden="false" customHeight="false" outlineLevel="0" collapsed="false">
      <c r="A23" s="14" t="s">
        <v>249</v>
      </c>
      <c r="B23" s="14" t="s">
        <v>250</v>
      </c>
      <c r="C23" s="14" t="s">
        <v>251</v>
      </c>
      <c r="D23" s="14" t="s">
        <v>252</v>
      </c>
      <c r="E23" s="14" t="s">
        <v>253</v>
      </c>
      <c r="F23" s="15"/>
      <c r="G23" s="15"/>
    </row>
    <row r="24" customFormat="false" ht="23.85" hidden="false" customHeight="false" outlineLevel="0" collapsed="false">
      <c r="A24" s="16" t="s">
        <v>74</v>
      </c>
      <c r="B24" s="16" t="s">
        <v>254</v>
      </c>
      <c r="C24" s="16" t="s">
        <v>255</v>
      </c>
      <c r="D24" s="16" t="s">
        <v>256</v>
      </c>
      <c r="E24" s="16" t="s">
        <v>230</v>
      </c>
      <c r="F24" s="15"/>
      <c r="G24" s="15"/>
    </row>
    <row r="25" customFormat="false" ht="23.85" hidden="false" customHeight="false" outlineLevel="0" collapsed="false">
      <c r="A25" s="14" t="s">
        <v>257</v>
      </c>
      <c r="B25" s="14" t="s">
        <v>258</v>
      </c>
      <c r="C25" s="14" t="s">
        <v>259</v>
      </c>
      <c r="D25" s="14" t="s">
        <v>260</v>
      </c>
      <c r="E25" s="14" t="s">
        <v>261</v>
      </c>
      <c r="F25" s="15"/>
      <c r="G25" s="15"/>
    </row>
    <row r="26" customFormat="false" ht="15" hidden="false" customHeight="false" outlineLevel="0" collapsed="false">
      <c r="A26" s="14" t="s">
        <v>262</v>
      </c>
      <c r="B26" s="14" t="s">
        <v>263</v>
      </c>
      <c r="C26" s="14" t="s">
        <v>264</v>
      </c>
      <c r="D26" s="14" t="s">
        <v>265</v>
      </c>
      <c r="E26" s="14" t="s">
        <v>266</v>
      </c>
      <c r="F26" s="15"/>
      <c r="G26" s="15"/>
    </row>
    <row r="27" customFormat="false" ht="23.85" hidden="false" customHeight="false" outlineLevel="0" collapsed="false">
      <c r="A27" s="14" t="s">
        <v>267</v>
      </c>
      <c r="B27" s="14" t="s">
        <v>268</v>
      </c>
      <c r="C27" s="14" t="s">
        <v>269</v>
      </c>
      <c r="D27" s="14" t="s">
        <v>270</v>
      </c>
      <c r="E27" s="14" t="s">
        <v>271</v>
      </c>
      <c r="F27" s="15"/>
      <c r="G27" s="15"/>
    </row>
    <row r="28" customFormat="false" ht="23.85" hidden="false" customHeight="false" outlineLevel="0" collapsed="false">
      <c r="A28" s="14" t="s">
        <v>272</v>
      </c>
      <c r="B28" s="14" t="s">
        <v>273</v>
      </c>
      <c r="C28" s="14" t="s">
        <v>274</v>
      </c>
      <c r="D28" s="14" t="s">
        <v>275</v>
      </c>
      <c r="E28" s="14" t="s">
        <v>276</v>
      </c>
      <c r="F28" s="15"/>
      <c r="G28" s="15"/>
    </row>
    <row r="29" customFormat="false" ht="15" hidden="false" customHeight="false" outlineLevel="0" collapsed="false">
      <c r="A29" s="14" t="s">
        <v>277</v>
      </c>
      <c r="B29" s="14" t="s">
        <v>278</v>
      </c>
      <c r="C29" s="14" t="s">
        <v>279</v>
      </c>
      <c r="D29" s="14" t="s">
        <v>280</v>
      </c>
      <c r="E29" s="14" t="s">
        <v>281</v>
      </c>
      <c r="F29" s="15"/>
      <c r="G29" s="15"/>
    </row>
    <row r="30" customFormat="false" ht="15" hidden="false" customHeight="false" outlineLevel="0" collapsed="false">
      <c r="A30" s="14" t="s">
        <v>282</v>
      </c>
      <c r="B30" s="14" t="s">
        <v>283</v>
      </c>
      <c r="C30" s="14" t="s">
        <v>284</v>
      </c>
      <c r="D30" s="14" t="s">
        <v>285</v>
      </c>
      <c r="E30" s="14" t="s">
        <v>286</v>
      </c>
      <c r="F30" s="15"/>
      <c r="G30" s="15"/>
    </row>
    <row r="31" customFormat="false" ht="35.05" hidden="false" customHeight="false" outlineLevel="0" collapsed="false">
      <c r="A31" s="14" t="s">
        <v>287</v>
      </c>
      <c r="B31" s="14" t="s">
        <v>288</v>
      </c>
      <c r="C31" s="14" t="s">
        <v>289</v>
      </c>
      <c r="D31" s="14" t="s">
        <v>290</v>
      </c>
      <c r="E31" s="14" t="s">
        <v>291</v>
      </c>
      <c r="F31" s="15"/>
      <c r="G31" s="15"/>
    </row>
    <row r="32" customFormat="false" ht="15" hidden="false" customHeight="false" outlineLevel="0" collapsed="false">
      <c r="A32" s="14" t="s">
        <v>292</v>
      </c>
      <c r="B32" s="14" t="s">
        <v>293</v>
      </c>
      <c r="C32" s="14" t="s">
        <v>294</v>
      </c>
      <c r="D32" s="14" t="s">
        <v>295</v>
      </c>
      <c r="E32" s="14" t="s">
        <v>296</v>
      </c>
      <c r="F32" s="15"/>
      <c r="G32" s="15"/>
    </row>
    <row r="33" customFormat="false" ht="15" hidden="false" customHeight="false" outlineLevel="0" collapsed="false">
      <c r="A33" s="14" t="s">
        <v>297</v>
      </c>
      <c r="B33" s="14" t="s">
        <v>298</v>
      </c>
      <c r="C33" s="14" t="s">
        <v>299</v>
      </c>
      <c r="D33" s="14" t="s">
        <v>300</v>
      </c>
      <c r="E33" s="14" t="s">
        <v>301</v>
      </c>
      <c r="F33" s="15"/>
      <c r="G33" s="15"/>
    </row>
    <row r="34" customFormat="false" ht="23.85" hidden="false" customHeight="false" outlineLevel="0" collapsed="false">
      <c r="A34" s="14" t="s">
        <v>302</v>
      </c>
      <c r="B34" s="14" t="s">
        <v>303</v>
      </c>
      <c r="C34" s="14" t="s">
        <v>304</v>
      </c>
      <c r="D34" s="14" t="s">
        <v>305</v>
      </c>
      <c r="E34" s="14" t="s">
        <v>170</v>
      </c>
      <c r="F34" s="15"/>
      <c r="G34" s="15"/>
    </row>
    <row r="35" customFormat="false" ht="35.05" hidden="false" customHeight="false" outlineLevel="0" collapsed="false">
      <c r="A35" s="14" t="s">
        <v>306</v>
      </c>
      <c r="B35" s="14" t="s">
        <v>307</v>
      </c>
      <c r="C35" s="14" t="s">
        <v>308</v>
      </c>
      <c r="D35" s="14" t="s">
        <v>309</v>
      </c>
      <c r="E35" s="14" t="s">
        <v>310</v>
      </c>
      <c r="F35" s="15"/>
      <c r="G35" s="15"/>
    </row>
    <row r="36" customFormat="false" ht="15" hidden="false" customHeight="false" outlineLevel="0" collapsed="false">
      <c r="A36" s="14" t="s">
        <v>311</v>
      </c>
      <c r="B36" s="14" t="s">
        <v>312</v>
      </c>
      <c r="C36" s="14" t="s">
        <v>313</v>
      </c>
      <c r="D36" s="14" t="s">
        <v>314</v>
      </c>
      <c r="E36" s="14" t="s">
        <v>301</v>
      </c>
      <c r="F36" s="15"/>
      <c r="G36" s="15"/>
    </row>
    <row r="37" customFormat="false" ht="23.85" hidden="false" customHeight="false" outlineLevel="0" collapsed="false">
      <c r="A37" s="14" t="s">
        <v>315</v>
      </c>
      <c r="B37" s="14" t="s">
        <v>316</v>
      </c>
      <c r="C37" s="14" t="s">
        <v>317</v>
      </c>
      <c r="D37" s="14" t="s">
        <v>318</v>
      </c>
      <c r="E37" s="14" t="s">
        <v>319</v>
      </c>
      <c r="F37" s="15"/>
      <c r="G37" s="15"/>
    </row>
    <row r="38" customFormat="false" ht="15" hidden="false" customHeight="false" outlineLevel="0" collapsed="false">
      <c r="A38" s="14" t="s">
        <v>320</v>
      </c>
      <c r="B38" s="14" t="s">
        <v>321</v>
      </c>
      <c r="C38" s="14" t="s">
        <v>322</v>
      </c>
      <c r="D38" s="14" t="s">
        <v>323</v>
      </c>
      <c r="E38" s="14" t="s">
        <v>324</v>
      </c>
      <c r="F38" s="15"/>
      <c r="G38" s="15"/>
    </row>
    <row r="39" customFormat="false" ht="15" hidden="false" customHeight="false" outlineLevel="0" collapsed="false">
      <c r="A39" s="14" t="s">
        <v>325</v>
      </c>
      <c r="B39" s="14" t="s">
        <v>326</v>
      </c>
      <c r="C39" s="14" t="s">
        <v>327</v>
      </c>
      <c r="D39" s="14" t="s">
        <v>328</v>
      </c>
      <c r="E39" s="14" t="s">
        <v>329</v>
      </c>
      <c r="F39" s="15"/>
      <c r="G39" s="15"/>
    </row>
    <row r="40" customFormat="false" ht="15" hidden="false" customHeight="false" outlineLevel="0" collapsed="false">
      <c r="A40" s="14" t="s">
        <v>330</v>
      </c>
      <c r="B40" s="14" t="s">
        <v>331</v>
      </c>
      <c r="C40" s="14" t="s">
        <v>332</v>
      </c>
      <c r="D40" s="14" t="s">
        <v>333</v>
      </c>
      <c r="E40" s="14" t="s">
        <v>334</v>
      </c>
      <c r="F40" s="15"/>
      <c r="G40" s="15"/>
    </row>
    <row r="41" customFormat="false" ht="35.05" hidden="false" customHeight="false" outlineLevel="0" collapsed="false">
      <c r="A41" s="14" t="s">
        <v>335</v>
      </c>
      <c r="B41" s="14" t="s">
        <v>336</v>
      </c>
      <c r="C41" s="14" t="s">
        <v>337</v>
      </c>
      <c r="D41" s="14" t="s">
        <v>338</v>
      </c>
      <c r="E41" s="14" t="s">
        <v>339</v>
      </c>
      <c r="F41" s="15"/>
      <c r="G41" s="15"/>
    </row>
    <row r="42" customFormat="false" ht="23.85" hidden="false" customHeight="false" outlineLevel="0" collapsed="false">
      <c r="A42" s="14" t="s">
        <v>340</v>
      </c>
      <c r="B42" s="14" t="s">
        <v>341</v>
      </c>
      <c r="C42" s="14" t="s">
        <v>342</v>
      </c>
      <c r="D42" s="14" t="s">
        <v>343</v>
      </c>
      <c r="E42" s="14" t="s">
        <v>344</v>
      </c>
      <c r="F42" s="15"/>
      <c r="G42" s="15"/>
    </row>
    <row r="43" customFormat="false" ht="23.85" hidden="false" customHeight="false" outlineLevel="0" collapsed="false">
      <c r="A43" s="16" t="s">
        <v>56</v>
      </c>
      <c r="B43" s="16" t="s">
        <v>345</v>
      </c>
      <c r="C43" s="16" t="s">
        <v>346</v>
      </c>
      <c r="D43" s="16" t="s">
        <v>347</v>
      </c>
      <c r="E43" s="16" t="s">
        <v>348</v>
      </c>
      <c r="F43" s="15"/>
      <c r="G43" s="15"/>
    </row>
    <row r="44" customFormat="false" ht="23.85" hidden="false" customHeight="false" outlineLevel="0" collapsed="false">
      <c r="A44" s="14" t="s">
        <v>349</v>
      </c>
      <c r="B44" s="14" t="s">
        <v>350</v>
      </c>
      <c r="C44" s="14" t="s">
        <v>351</v>
      </c>
      <c r="D44" s="14" t="s">
        <v>352</v>
      </c>
      <c r="E44" s="14" t="s">
        <v>353</v>
      </c>
      <c r="F44" s="15"/>
      <c r="G44" s="15"/>
    </row>
    <row r="45" customFormat="false" ht="23.85" hidden="false" customHeight="false" outlineLevel="0" collapsed="false">
      <c r="A45" s="14" t="s">
        <v>354</v>
      </c>
      <c r="B45" s="14" t="s">
        <v>355</v>
      </c>
      <c r="C45" s="14" t="s">
        <v>356</v>
      </c>
      <c r="D45" s="14" t="s">
        <v>357</v>
      </c>
      <c r="E45" s="14" t="s">
        <v>271</v>
      </c>
      <c r="F45" s="15"/>
      <c r="G45" s="15"/>
    </row>
    <row r="46" customFormat="false" ht="23.85" hidden="false" customHeight="false" outlineLevel="0" collapsed="false">
      <c r="A46" s="14" t="s">
        <v>358</v>
      </c>
      <c r="B46" s="14" t="s">
        <v>359</v>
      </c>
      <c r="C46" s="14" t="s">
        <v>360</v>
      </c>
      <c r="D46" s="14" t="s">
        <v>361</v>
      </c>
      <c r="E46" s="14" t="s">
        <v>362</v>
      </c>
      <c r="F46" s="15"/>
      <c r="G46" s="15"/>
    </row>
    <row r="47" customFormat="false" ht="23.85" hidden="false" customHeight="false" outlineLevel="0" collapsed="false">
      <c r="A47" s="14" t="s">
        <v>363</v>
      </c>
      <c r="B47" s="14" t="s">
        <v>364</v>
      </c>
      <c r="C47" s="14" t="s">
        <v>365</v>
      </c>
      <c r="D47" s="14" t="s">
        <v>366</v>
      </c>
      <c r="E47" s="14" t="s">
        <v>367</v>
      </c>
      <c r="F47" s="15"/>
      <c r="G47" s="15"/>
    </row>
    <row r="48" customFormat="false" ht="23.85" hidden="false" customHeight="false" outlineLevel="0" collapsed="false">
      <c r="A48" s="14" t="s">
        <v>368</v>
      </c>
      <c r="B48" s="14" t="s">
        <v>369</v>
      </c>
      <c r="C48" s="14" t="s">
        <v>370</v>
      </c>
      <c r="D48" s="14" t="s">
        <v>371</v>
      </c>
      <c r="E48" s="14" t="s">
        <v>372</v>
      </c>
      <c r="F48" s="15"/>
      <c r="G48" s="15"/>
    </row>
    <row r="49" customFormat="false" ht="23.85" hidden="false" customHeight="false" outlineLevel="0" collapsed="false">
      <c r="A49" s="16" t="s">
        <v>62</v>
      </c>
      <c r="B49" s="16" t="s">
        <v>373</v>
      </c>
      <c r="C49" s="16" t="s">
        <v>374</v>
      </c>
      <c r="D49" s="16" t="s">
        <v>375</v>
      </c>
      <c r="E49" s="16" t="s">
        <v>226</v>
      </c>
      <c r="F49" s="15"/>
      <c r="G49" s="15"/>
    </row>
    <row r="50" customFormat="false" ht="15" hidden="false" customHeight="false" outlineLevel="0" collapsed="false">
      <c r="A50" s="14" t="s">
        <v>376</v>
      </c>
      <c r="B50" s="14" t="s">
        <v>377</v>
      </c>
      <c r="C50" s="14" t="s">
        <v>378</v>
      </c>
      <c r="D50" s="14" t="s">
        <v>379</v>
      </c>
      <c r="E50" s="14" t="s">
        <v>362</v>
      </c>
      <c r="F50" s="15"/>
      <c r="G50" s="15"/>
    </row>
    <row r="51" customFormat="false" ht="15" hidden="false" customHeight="false" outlineLevel="0" collapsed="false">
      <c r="A51" s="14" t="s">
        <v>380</v>
      </c>
      <c r="B51" s="14" t="s">
        <v>381</v>
      </c>
      <c r="C51" s="14" t="s">
        <v>382</v>
      </c>
      <c r="D51" s="14" t="s">
        <v>383</v>
      </c>
      <c r="E51" s="14" t="s">
        <v>334</v>
      </c>
      <c r="F51" s="15"/>
      <c r="G51" s="15"/>
    </row>
    <row r="52" customFormat="false" ht="23.85" hidden="false" customHeight="false" outlineLevel="0" collapsed="false">
      <c r="A52" s="14" t="s">
        <v>384</v>
      </c>
      <c r="B52" s="14" t="s">
        <v>385</v>
      </c>
      <c r="C52" s="14" t="s">
        <v>386</v>
      </c>
      <c r="D52" s="14" t="s">
        <v>387</v>
      </c>
      <c r="E52" s="14" t="s">
        <v>344</v>
      </c>
      <c r="F52" s="15"/>
      <c r="G52" s="15"/>
    </row>
    <row r="53" customFormat="false" ht="23.85" hidden="false" customHeight="false" outlineLevel="0" collapsed="false">
      <c r="A53" s="14" t="s">
        <v>388</v>
      </c>
      <c r="B53" s="14" t="s">
        <v>389</v>
      </c>
      <c r="C53" s="14" t="s">
        <v>390</v>
      </c>
      <c r="D53" s="14" t="s">
        <v>391</v>
      </c>
      <c r="E53" s="14" t="s">
        <v>392</v>
      </c>
      <c r="F53" s="15"/>
      <c r="G53" s="15"/>
    </row>
    <row r="54" customFormat="false" ht="23.85" hidden="false" customHeight="false" outlineLevel="0" collapsed="false">
      <c r="A54" s="14" t="s">
        <v>393</v>
      </c>
      <c r="B54" s="14" t="s">
        <v>394</v>
      </c>
      <c r="C54" s="14" t="s">
        <v>395</v>
      </c>
      <c r="D54" s="14" t="s">
        <v>396</v>
      </c>
      <c r="E54" s="14" t="s">
        <v>397</v>
      </c>
      <c r="F54" s="15"/>
      <c r="G54" s="15"/>
    </row>
    <row r="55" customFormat="false" ht="15" hidden="false" customHeight="false" outlineLevel="0" collapsed="false">
      <c r="A55" s="14" t="s">
        <v>398</v>
      </c>
      <c r="B55" s="14" t="s">
        <v>399</v>
      </c>
      <c r="C55" s="14" t="s">
        <v>400</v>
      </c>
      <c r="D55" s="14" t="s">
        <v>401</v>
      </c>
      <c r="E55" s="14" t="s">
        <v>253</v>
      </c>
      <c r="F55" s="15"/>
      <c r="G55" s="15"/>
    </row>
    <row r="56" customFormat="false" ht="15" hidden="false" customHeight="false" outlineLevel="0" collapsed="false">
      <c r="A56" s="14" t="s">
        <v>402</v>
      </c>
      <c r="B56" s="14" t="s">
        <v>403</v>
      </c>
      <c r="C56" s="14" t="s">
        <v>404</v>
      </c>
      <c r="D56" s="14" t="s">
        <v>405</v>
      </c>
      <c r="E56" s="14" t="s">
        <v>324</v>
      </c>
      <c r="F56" s="15"/>
      <c r="G56" s="15"/>
    </row>
    <row r="57" customFormat="false" ht="23.85" hidden="false" customHeight="false" outlineLevel="0" collapsed="false">
      <c r="A57" s="16" t="s">
        <v>68</v>
      </c>
      <c r="B57" s="16" t="s">
        <v>406</v>
      </c>
      <c r="C57" s="16" t="s">
        <v>407</v>
      </c>
      <c r="D57" s="16" t="s">
        <v>408</v>
      </c>
      <c r="E57" s="16" t="s">
        <v>409</v>
      </c>
      <c r="F57" s="15"/>
      <c r="G57" s="15"/>
    </row>
    <row r="58" customFormat="false" ht="46.25" hidden="false" customHeight="false" outlineLevel="0" collapsed="false">
      <c r="A58" s="14" t="s">
        <v>410</v>
      </c>
      <c r="B58" s="14" t="s">
        <v>411</v>
      </c>
      <c r="C58" s="14" t="s">
        <v>412</v>
      </c>
      <c r="D58" s="14" t="s">
        <v>413</v>
      </c>
      <c r="E58" s="14" t="s">
        <v>414</v>
      </c>
      <c r="F58" s="15"/>
      <c r="G58" s="15"/>
    </row>
    <row r="59" customFormat="false" ht="15" hidden="false" customHeight="false" outlineLevel="0" collapsed="false">
      <c r="A59" s="14" t="s">
        <v>415</v>
      </c>
      <c r="B59" s="14" t="s">
        <v>416</v>
      </c>
      <c r="C59" s="14" t="s">
        <v>417</v>
      </c>
      <c r="D59" s="14" t="s">
        <v>418</v>
      </c>
      <c r="E59" s="14" t="s">
        <v>194</v>
      </c>
      <c r="F59" s="15"/>
      <c r="G59" s="15"/>
    </row>
    <row r="60" customFormat="false" ht="35.05" hidden="false" customHeight="false" outlineLevel="0" collapsed="false">
      <c r="A60" s="14" t="s">
        <v>419</v>
      </c>
      <c r="B60" s="14" t="s">
        <v>420</v>
      </c>
      <c r="C60" s="14" t="s">
        <v>421</v>
      </c>
      <c r="D60" s="14" t="s">
        <v>422</v>
      </c>
      <c r="E60" s="14" t="s">
        <v>423</v>
      </c>
      <c r="F60" s="15"/>
      <c r="G60" s="15"/>
    </row>
    <row r="61" customFormat="false" ht="15" hidden="false" customHeight="false" outlineLevel="0" collapsed="false">
      <c r="A61" s="14" t="s">
        <v>424</v>
      </c>
      <c r="B61" s="14" t="s">
        <v>425</v>
      </c>
      <c r="C61" s="14" t="s">
        <v>426</v>
      </c>
      <c r="D61" s="14" t="s">
        <v>427</v>
      </c>
      <c r="E61" s="14" t="s">
        <v>266</v>
      </c>
      <c r="F61" s="15"/>
      <c r="G61" s="15"/>
    </row>
    <row r="62" customFormat="false" ht="15" hidden="false" customHeight="false" outlineLevel="0" collapsed="false">
      <c r="A62" s="14" t="s">
        <v>428</v>
      </c>
      <c r="B62" s="14" t="s">
        <v>429</v>
      </c>
      <c r="C62" s="14" t="s">
        <v>430</v>
      </c>
      <c r="D62" s="14" t="s">
        <v>431</v>
      </c>
      <c r="E62" s="14" t="s">
        <v>266</v>
      </c>
      <c r="F62" s="15"/>
      <c r="G62" s="15"/>
    </row>
    <row r="63" customFormat="false" ht="15" hidden="false" customHeight="false" outlineLevel="0" collapsed="false">
      <c r="A63" s="14" t="s">
        <v>432</v>
      </c>
      <c r="B63" s="14" t="s">
        <v>433</v>
      </c>
      <c r="C63" s="14" t="s">
        <v>434</v>
      </c>
      <c r="D63" s="14" t="s">
        <v>435</v>
      </c>
      <c r="E63" s="14" t="s">
        <v>436</v>
      </c>
      <c r="F63" s="15"/>
      <c r="G63" s="15"/>
    </row>
    <row r="64" customFormat="false" ht="15" hidden="false" customHeight="false" outlineLevel="0" collapsed="false">
      <c r="A64" s="14" t="s">
        <v>437</v>
      </c>
      <c r="B64" s="14" t="s">
        <v>438</v>
      </c>
      <c r="C64" s="14" t="s">
        <v>439</v>
      </c>
      <c r="D64" s="14" t="s">
        <v>440</v>
      </c>
      <c r="E64" s="14" t="s">
        <v>441</v>
      </c>
      <c r="F64" s="15"/>
      <c r="G64" s="15"/>
    </row>
    <row r="65" customFormat="false" ht="23.85" hidden="false" customHeight="false" outlineLevel="0" collapsed="false">
      <c r="A65" s="16" t="s">
        <v>59</v>
      </c>
      <c r="B65" s="16" t="s">
        <v>442</v>
      </c>
      <c r="C65" s="16" t="s">
        <v>443</v>
      </c>
      <c r="D65" s="16" t="s">
        <v>444</v>
      </c>
      <c r="E65" s="16" t="s">
        <v>226</v>
      </c>
      <c r="F65" s="15"/>
      <c r="G65" s="15"/>
    </row>
    <row r="66" customFormat="false" ht="15" hidden="false" customHeight="false" outlineLevel="0" collapsed="false">
      <c r="A66" s="14" t="s">
        <v>445</v>
      </c>
      <c r="B66" s="14" t="s">
        <v>446</v>
      </c>
      <c r="C66" s="14" t="s">
        <v>447</v>
      </c>
      <c r="D66" s="14" t="s">
        <v>448</v>
      </c>
      <c r="E66" s="14" t="s">
        <v>392</v>
      </c>
      <c r="F66" s="15"/>
      <c r="G66" s="15"/>
    </row>
    <row r="67" customFormat="false" ht="35.05" hidden="false" customHeight="false" outlineLevel="0" collapsed="false">
      <c r="A67" s="14" t="s">
        <v>449</v>
      </c>
      <c r="B67" s="14" t="s">
        <v>450</v>
      </c>
      <c r="C67" s="14" t="s">
        <v>451</v>
      </c>
      <c r="D67" s="14" t="s">
        <v>452</v>
      </c>
      <c r="E67" s="14" t="s">
        <v>453</v>
      </c>
      <c r="F67" s="15"/>
      <c r="G67" s="15"/>
    </row>
    <row r="68" customFormat="false" ht="15" hidden="false" customHeight="false" outlineLevel="0" collapsed="false">
      <c r="A68" s="14" t="s">
        <v>454</v>
      </c>
      <c r="B68" s="14" t="s">
        <v>455</v>
      </c>
      <c r="C68" s="14" t="s">
        <v>456</v>
      </c>
      <c r="D68" s="14" t="s">
        <v>457</v>
      </c>
      <c r="E68" s="14" t="s">
        <v>441</v>
      </c>
      <c r="F68" s="15"/>
      <c r="G68" s="15"/>
    </row>
    <row r="69" customFormat="false" ht="35.05" hidden="false" customHeight="false" outlineLevel="0" collapsed="false">
      <c r="A69" s="14" t="s">
        <v>458</v>
      </c>
      <c r="B69" s="14" t="s">
        <v>459</v>
      </c>
      <c r="C69" s="14" t="s">
        <v>460</v>
      </c>
      <c r="D69" s="14" t="s">
        <v>461</v>
      </c>
      <c r="E69" s="14" t="s">
        <v>462</v>
      </c>
      <c r="F69" s="15"/>
      <c r="G69" s="15"/>
    </row>
    <row r="70" customFormat="false" ht="23.85" hidden="false" customHeight="false" outlineLevel="0" collapsed="false">
      <c r="A70" s="16" t="s">
        <v>53</v>
      </c>
      <c r="B70" s="16" t="s">
        <v>463</v>
      </c>
      <c r="C70" s="16" t="s">
        <v>464</v>
      </c>
      <c r="D70" s="16" t="s">
        <v>465</v>
      </c>
      <c r="E70" s="16" t="s">
        <v>348</v>
      </c>
      <c r="F70" s="15"/>
      <c r="G70" s="15"/>
    </row>
    <row r="71" customFormat="false" ht="23.85" hidden="false" customHeight="false" outlineLevel="0" collapsed="false">
      <c r="A71" s="14" t="s">
        <v>466</v>
      </c>
      <c r="B71" s="14" t="s">
        <v>467</v>
      </c>
      <c r="C71" s="14" t="s">
        <v>468</v>
      </c>
      <c r="D71" s="14" t="s">
        <v>469</v>
      </c>
      <c r="E71" s="14" t="s">
        <v>367</v>
      </c>
      <c r="F71" s="15"/>
      <c r="G71" s="15"/>
    </row>
    <row r="72" customFormat="false" ht="23.85" hidden="false" customHeight="false" outlineLevel="0" collapsed="false">
      <c r="A72" s="14" t="s">
        <v>470</v>
      </c>
      <c r="B72" s="14" t="s">
        <v>471</v>
      </c>
      <c r="C72" s="14" t="s">
        <v>472</v>
      </c>
      <c r="D72" s="14" t="s">
        <v>473</v>
      </c>
      <c r="E72" s="14" t="s">
        <v>474</v>
      </c>
      <c r="F72" s="15"/>
      <c r="G72" s="15"/>
    </row>
  </sheetData>
  <autoFilter ref="A1:G1"/>
  <dataValidations count="1">
    <dataValidation allowBlank="true" error="Choisir Oui, Non ou À modifier." errorStyle="stop" errorTitle="Décision" operator="between" showDropDown="false" showErrorMessage="true" showInputMessage="false" sqref="F2:F72" type="list">
      <formula1>"Oui,Non,À modifier"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26"/>
    <col collapsed="false" customWidth="true" hidden="false" outlineLevel="0" max="4" min="4" style="0" width="55"/>
    <col collapsed="false" customWidth="true" hidden="false" outlineLevel="0" max="6" min="5" style="0" width="34"/>
    <col collapsed="false" customWidth="true" hidden="false" outlineLevel="0" max="7" min="7" style="0" width="13"/>
    <col collapsed="false" customWidth="true" hidden="false" outlineLevel="0" max="8" min="8" style="0" width="45"/>
  </cols>
  <sheetData>
    <row r="1" customFormat="false" ht="15" hidden="false" customHeight="false" outlineLevel="0" collapsed="false">
      <c r="A1" s="13" t="s">
        <v>42</v>
      </c>
      <c r="B1" s="13" t="s">
        <v>147</v>
      </c>
      <c r="C1" s="13" t="s">
        <v>148</v>
      </c>
      <c r="D1" s="13" t="s">
        <v>149</v>
      </c>
      <c r="E1" s="13" t="s">
        <v>36</v>
      </c>
      <c r="F1" s="13" t="s">
        <v>38</v>
      </c>
      <c r="G1" s="13" t="s">
        <v>7</v>
      </c>
      <c r="H1" s="13" t="s">
        <v>25</v>
      </c>
    </row>
    <row r="2" customFormat="false" ht="35.05" hidden="false" customHeight="false" outlineLevel="0" collapsed="false">
      <c r="A2" s="14" t="s">
        <v>475</v>
      </c>
      <c r="B2" s="14" t="s">
        <v>301</v>
      </c>
      <c r="C2" s="14" t="s">
        <v>476</v>
      </c>
      <c r="D2" s="14" t="s">
        <v>477</v>
      </c>
      <c r="E2" s="14" t="s">
        <v>478</v>
      </c>
      <c r="F2" s="14" t="s">
        <v>479</v>
      </c>
      <c r="G2" s="15"/>
      <c r="H2" s="15"/>
    </row>
    <row r="3" customFormat="false" ht="79.85" hidden="false" customHeight="false" outlineLevel="0" collapsed="false">
      <c r="A3" s="14" t="s">
        <v>480</v>
      </c>
      <c r="B3" s="14" t="s">
        <v>170</v>
      </c>
      <c r="C3" s="14" t="s">
        <v>481</v>
      </c>
      <c r="D3" s="14" t="s">
        <v>482</v>
      </c>
      <c r="E3" s="14" t="s">
        <v>483</v>
      </c>
      <c r="F3" s="14" t="s">
        <v>484</v>
      </c>
      <c r="G3" s="15"/>
      <c r="H3" s="15"/>
    </row>
    <row r="4" customFormat="false" ht="68.65" hidden="false" customHeight="false" outlineLevel="0" collapsed="false">
      <c r="A4" s="14" t="s">
        <v>485</v>
      </c>
      <c r="B4" s="14" t="s">
        <v>344</v>
      </c>
      <c r="C4" s="14" t="s">
        <v>486</v>
      </c>
      <c r="D4" s="14" t="s">
        <v>487</v>
      </c>
      <c r="E4" s="14" t="s">
        <v>488</v>
      </c>
      <c r="F4" s="14" t="s">
        <v>489</v>
      </c>
      <c r="G4" s="15"/>
      <c r="H4" s="15"/>
    </row>
    <row r="5" customFormat="false" ht="46.25" hidden="false" customHeight="false" outlineLevel="0" collapsed="false">
      <c r="A5" s="14" t="s">
        <v>490</v>
      </c>
      <c r="B5" s="14" t="s">
        <v>491</v>
      </c>
      <c r="C5" s="14" t="s">
        <v>492</v>
      </c>
      <c r="D5" s="14" t="s">
        <v>493</v>
      </c>
      <c r="E5" s="14" t="s">
        <v>494</v>
      </c>
      <c r="F5" s="14" t="s">
        <v>495</v>
      </c>
      <c r="G5" s="15"/>
      <c r="H5" s="15"/>
    </row>
    <row r="6" customFormat="false" ht="23.85" hidden="false" customHeight="false" outlineLevel="0" collapsed="false">
      <c r="A6" s="14" t="s">
        <v>496</v>
      </c>
      <c r="B6" s="14" t="s">
        <v>436</v>
      </c>
      <c r="C6" s="14" t="s">
        <v>497</v>
      </c>
      <c r="D6" s="14" t="s">
        <v>498</v>
      </c>
      <c r="E6" s="14" t="s">
        <v>499</v>
      </c>
      <c r="F6" s="14" t="s">
        <v>500</v>
      </c>
      <c r="G6" s="15"/>
      <c r="H6" s="15"/>
    </row>
    <row r="7" customFormat="false" ht="35.05" hidden="false" customHeight="false" outlineLevel="0" collapsed="false">
      <c r="A7" s="14" t="s">
        <v>501</v>
      </c>
      <c r="B7" s="14" t="s">
        <v>324</v>
      </c>
      <c r="C7" s="14" t="s">
        <v>502</v>
      </c>
      <c r="D7" s="14" t="s">
        <v>503</v>
      </c>
      <c r="E7" s="14" t="s">
        <v>504</v>
      </c>
      <c r="F7" s="14" t="s">
        <v>505</v>
      </c>
      <c r="G7" s="15"/>
      <c r="H7" s="15"/>
    </row>
    <row r="8" customFormat="false" ht="35.05" hidden="false" customHeight="false" outlineLevel="0" collapsed="false">
      <c r="A8" s="14" t="s">
        <v>506</v>
      </c>
      <c r="B8" s="14" t="s">
        <v>441</v>
      </c>
      <c r="C8" s="14" t="s">
        <v>507</v>
      </c>
      <c r="D8" s="14" t="s">
        <v>508</v>
      </c>
      <c r="E8" s="14" t="s">
        <v>509</v>
      </c>
      <c r="F8" s="14" t="s">
        <v>510</v>
      </c>
      <c r="G8" s="15"/>
      <c r="H8" s="15"/>
    </row>
    <row r="9" customFormat="false" ht="46.25" hidden="false" customHeight="false" outlineLevel="0" collapsed="false">
      <c r="A9" s="14" t="s">
        <v>511</v>
      </c>
      <c r="B9" s="14" t="s">
        <v>512</v>
      </c>
      <c r="C9" s="14" t="s">
        <v>513</v>
      </c>
      <c r="D9" s="14" t="s">
        <v>514</v>
      </c>
      <c r="E9" s="14" t="s">
        <v>515</v>
      </c>
      <c r="F9" s="14" t="s">
        <v>516</v>
      </c>
      <c r="G9" s="15"/>
      <c r="H9" s="15"/>
    </row>
    <row r="10" customFormat="false" ht="35.05" hidden="false" customHeight="false" outlineLevel="0" collapsed="false">
      <c r="A10" s="14" t="s">
        <v>517</v>
      </c>
      <c r="B10" s="14" t="s">
        <v>518</v>
      </c>
      <c r="C10" s="14" t="s">
        <v>519</v>
      </c>
      <c r="D10" s="14" t="s">
        <v>520</v>
      </c>
      <c r="E10" s="14" t="s">
        <v>521</v>
      </c>
      <c r="F10" s="14" t="s">
        <v>522</v>
      </c>
      <c r="G10" s="15"/>
      <c r="H10" s="15"/>
    </row>
    <row r="11" customFormat="false" ht="35.05" hidden="false" customHeight="false" outlineLevel="0" collapsed="false">
      <c r="A11" s="14" t="s">
        <v>523</v>
      </c>
      <c r="B11" s="14" t="s">
        <v>204</v>
      </c>
      <c r="C11" s="14" t="s">
        <v>524</v>
      </c>
      <c r="D11" s="14" t="s">
        <v>525</v>
      </c>
      <c r="E11" s="14" t="s">
        <v>526</v>
      </c>
      <c r="F11" s="14" t="s">
        <v>527</v>
      </c>
      <c r="G11" s="15"/>
      <c r="H11" s="15"/>
    </row>
    <row r="12" customFormat="false" ht="46.25" hidden="false" customHeight="false" outlineLevel="0" collapsed="false">
      <c r="A12" s="14" t="s">
        <v>528</v>
      </c>
      <c r="B12" s="14" t="s">
        <v>334</v>
      </c>
      <c r="C12" s="14" t="s">
        <v>529</v>
      </c>
      <c r="D12" s="14" t="s">
        <v>530</v>
      </c>
      <c r="E12" s="14" t="s">
        <v>531</v>
      </c>
      <c r="F12" s="14" t="s">
        <v>532</v>
      </c>
      <c r="G12" s="15"/>
      <c r="H12" s="15"/>
    </row>
    <row r="13" customFormat="false" ht="46.25" hidden="false" customHeight="false" outlineLevel="0" collapsed="false">
      <c r="A13" s="14" t="s">
        <v>533</v>
      </c>
      <c r="B13" s="14" t="s">
        <v>367</v>
      </c>
      <c r="C13" s="14" t="s">
        <v>534</v>
      </c>
      <c r="D13" s="14" t="s">
        <v>535</v>
      </c>
      <c r="E13" s="14" t="s">
        <v>536</v>
      </c>
      <c r="F13" s="14" t="s">
        <v>537</v>
      </c>
      <c r="G13" s="15"/>
      <c r="H13" s="15"/>
    </row>
    <row r="14" customFormat="false" ht="23.85" hidden="false" customHeight="false" outlineLevel="0" collapsed="false">
      <c r="A14" s="14" t="s">
        <v>538</v>
      </c>
      <c r="B14" s="14" t="s">
        <v>319</v>
      </c>
      <c r="C14" s="14" t="s">
        <v>539</v>
      </c>
      <c r="D14" s="14" t="s">
        <v>540</v>
      </c>
      <c r="E14" s="14" t="s">
        <v>541</v>
      </c>
      <c r="F14" s="14" t="s">
        <v>542</v>
      </c>
      <c r="G14" s="15"/>
      <c r="H14" s="15"/>
    </row>
    <row r="15" customFormat="false" ht="46.25" hidden="false" customHeight="false" outlineLevel="0" collapsed="false">
      <c r="A15" s="14" t="s">
        <v>543</v>
      </c>
      <c r="B15" s="14" t="s">
        <v>271</v>
      </c>
      <c r="C15" s="14" t="s">
        <v>544</v>
      </c>
      <c r="D15" s="14" t="s">
        <v>545</v>
      </c>
      <c r="E15" s="14" t="s">
        <v>546</v>
      </c>
      <c r="F15" s="14" t="s">
        <v>547</v>
      </c>
      <c r="G15" s="15"/>
      <c r="H15" s="15"/>
    </row>
    <row r="16" customFormat="false" ht="35.05" hidden="false" customHeight="false" outlineLevel="0" collapsed="false">
      <c r="A16" s="14" t="s">
        <v>548</v>
      </c>
      <c r="B16" s="14" t="s">
        <v>194</v>
      </c>
      <c r="C16" s="14" t="s">
        <v>549</v>
      </c>
      <c r="D16" s="14" t="s">
        <v>550</v>
      </c>
      <c r="E16" s="14" t="s">
        <v>551</v>
      </c>
      <c r="F16" s="14" t="s">
        <v>552</v>
      </c>
      <c r="G16" s="15"/>
      <c r="H16" s="15"/>
    </row>
    <row r="17" customFormat="false" ht="102.2" hidden="false" customHeight="false" outlineLevel="0" collapsed="false">
      <c r="A17" s="14" t="s">
        <v>553</v>
      </c>
      <c r="B17" s="14" t="s">
        <v>554</v>
      </c>
      <c r="C17" s="14" t="s">
        <v>555</v>
      </c>
      <c r="D17" s="14" t="s">
        <v>556</v>
      </c>
      <c r="E17" s="14" t="s">
        <v>557</v>
      </c>
      <c r="F17" s="14" t="s">
        <v>558</v>
      </c>
      <c r="G17" s="15"/>
      <c r="H17" s="15"/>
    </row>
    <row r="18" customFormat="false" ht="303.7" hidden="false" customHeight="false" outlineLevel="0" collapsed="false">
      <c r="A18" s="14" t="s">
        <v>559</v>
      </c>
      <c r="B18" s="14" t="s">
        <v>253</v>
      </c>
      <c r="C18" s="14" t="s">
        <v>560</v>
      </c>
      <c r="D18" s="14" t="s">
        <v>561</v>
      </c>
      <c r="E18" s="14" t="s">
        <v>562</v>
      </c>
      <c r="F18" s="14" t="s">
        <v>563</v>
      </c>
      <c r="G18" s="15"/>
      <c r="H18" s="15"/>
    </row>
    <row r="19" customFormat="false" ht="68.65" hidden="false" customHeight="false" outlineLevel="0" collapsed="false">
      <c r="A19" s="14" t="s">
        <v>564</v>
      </c>
      <c r="B19" s="14" t="s">
        <v>372</v>
      </c>
      <c r="C19" s="14" t="s">
        <v>565</v>
      </c>
      <c r="D19" s="14" t="s">
        <v>566</v>
      </c>
      <c r="E19" s="14" t="s">
        <v>567</v>
      </c>
      <c r="F19" s="14" t="s">
        <v>568</v>
      </c>
      <c r="G19" s="15"/>
      <c r="H19" s="15"/>
    </row>
    <row r="20" customFormat="false" ht="68.65" hidden="false" customHeight="false" outlineLevel="0" collapsed="false">
      <c r="A20" s="14" t="s">
        <v>569</v>
      </c>
      <c r="B20" s="14" t="s">
        <v>286</v>
      </c>
      <c r="C20" s="14" t="s">
        <v>570</v>
      </c>
      <c r="D20" s="14" t="s">
        <v>571</v>
      </c>
      <c r="E20" s="14" t="s">
        <v>572</v>
      </c>
      <c r="F20" s="14" t="s">
        <v>573</v>
      </c>
      <c r="G20" s="15"/>
      <c r="H20" s="15"/>
    </row>
    <row r="21" customFormat="false" ht="46.25" hidden="false" customHeight="false" outlineLevel="0" collapsed="false">
      <c r="A21" s="14" t="s">
        <v>574</v>
      </c>
      <c r="B21" s="14" t="s">
        <v>392</v>
      </c>
      <c r="C21" s="14" t="s">
        <v>575</v>
      </c>
      <c r="D21" s="14" t="s">
        <v>576</v>
      </c>
      <c r="E21" s="14" t="s">
        <v>577</v>
      </c>
      <c r="F21" s="14" t="s">
        <v>578</v>
      </c>
      <c r="G21" s="15"/>
      <c r="H21" s="15"/>
    </row>
    <row r="22" customFormat="false" ht="23.85" hidden="false" customHeight="false" outlineLevel="0" collapsed="false">
      <c r="A22" s="14" t="s">
        <v>579</v>
      </c>
      <c r="B22" s="14" t="s">
        <v>296</v>
      </c>
      <c r="C22" s="14" t="s">
        <v>580</v>
      </c>
      <c r="D22" s="14" t="s">
        <v>581</v>
      </c>
      <c r="E22" s="14" t="s">
        <v>582</v>
      </c>
      <c r="F22" s="14" t="s">
        <v>583</v>
      </c>
      <c r="G22" s="15"/>
      <c r="H22" s="15"/>
    </row>
    <row r="23" customFormat="false" ht="46.25" hidden="false" customHeight="false" outlineLevel="0" collapsed="false">
      <c r="A23" s="14" t="s">
        <v>584</v>
      </c>
      <c r="B23" s="14" t="s">
        <v>329</v>
      </c>
      <c r="C23" s="14" t="s">
        <v>585</v>
      </c>
      <c r="D23" s="14" t="s">
        <v>586</v>
      </c>
      <c r="E23" s="14" t="s">
        <v>587</v>
      </c>
      <c r="F23" s="14" t="s">
        <v>588</v>
      </c>
      <c r="G23" s="15"/>
      <c r="H23" s="15"/>
    </row>
    <row r="24" customFormat="false" ht="46.25" hidden="false" customHeight="false" outlineLevel="0" collapsed="false">
      <c r="A24" s="14" t="s">
        <v>589</v>
      </c>
      <c r="B24" s="14" t="s">
        <v>266</v>
      </c>
      <c r="C24" s="14" t="s">
        <v>590</v>
      </c>
      <c r="D24" s="14" t="s">
        <v>591</v>
      </c>
      <c r="E24" s="14" t="s">
        <v>592</v>
      </c>
      <c r="F24" s="14" t="s">
        <v>593</v>
      </c>
      <c r="G24" s="15"/>
      <c r="H24" s="15"/>
    </row>
    <row r="25" customFormat="false" ht="68.65" hidden="false" customHeight="false" outlineLevel="0" collapsed="false">
      <c r="A25" s="14" t="s">
        <v>594</v>
      </c>
      <c r="B25" s="14" t="s">
        <v>595</v>
      </c>
      <c r="C25" s="14" t="s">
        <v>596</v>
      </c>
      <c r="D25" s="14" t="s">
        <v>597</v>
      </c>
      <c r="E25" s="14" t="s">
        <v>598</v>
      </c>
      <c r="F25" s="14" t="s">
        <v>599</v>
      </c>
      <c r="G25" s="15"/>
      <c r="H25" s="15"/>
    </row>
    <row r="26" customFormat="false" ht="35.05" hidden="false" customHeight="false" outlineLevel="0" collapsed="false">
      <c r="A26" s="14" t="s">
        <v>600</v>
      </c>
      <c r="B26" s="14" t="s">
        <v>180</v>
      </c>
      <c r="C26" s="14" t="s">
        <v>601</v>
      </c>
      <c r="D26" s="14" t="s">
        <v>602</v>
      </c>
      <c r="E26" s="14" t="s">
        <v>603</v>
      </c>
      <c r="F26" s="14" t="s">
        <v>604</v>
      </c>
      <c r="G26" s="15"/>
      <c r="H26" s="15"/>
    </row>
    <row r="27" customFormat="false" ht="23.85" hidden="false" customHeight="false" outlineLevel="0" collapsed="false">
      <c r="A27" s="14" t="s">
        <v>605</v>
      </c>
      <c r="B27" s="14" t="s">
        <v>261</v>
      </c>
      <c r="C27" s="14" t="s">
        <v>606</v>
      </c>
      <c r="D27" s="14" t="s">
        <v>607</v>
      </c>
      <c r="E27" s="14" t="s">
        <v>608</v>
      </c>
      <c r="F27" s="14" t="s">
        <v>609</v>
      </c>
      <c r="G27" s="15"/>
      <c r="H27" s="15"/>
    </row>
    <row r="28" customFormat="false" ht="68.65" hidden="false" customHeight="false" outlineLevel="0" collapsed="false">
      <c r="A28" s="14" t="s">
        <v>610</v>
      </c>
      <c r="B28" s="14" t="s">
        <v>362</v>
      </c>
      <c r="C28" s="14" t="s">
        <v>611</v>
      </c>
      <c r="D28" s="14" t="s">
        <v>612</v>
      </c>
      <c r="E28" s="14" t="s">
        <v>613</v>
      </c>
      <c r="F28" s="14" t="s">
        <v>614</v>
      </c>
      <c r="G28" s="15"/>
      <c r="H28" s="15"/>
    </row>
    <row r="29" customFormat="false" ht="46.25" hidden="false" customHeight="false" outlineLevel="0" collapsed="false">
      <c r="A29" s="14" t="s">
        <v>615</v>
      </c>
      <c r="B29" s="14" t="s">
        <v>281</v>
      </c>
      <c r="C29" s="14" t="s">
        <v>616</v>
      </c>
      <c r="D29" s="14" t="s">
        <v>617</v>
      </c>
      <c r="E29" s="14" t="s">
        <v>618</v>
      </c>
      <c r="F29" s="14" t="s">
        <v>619</v>
      </c>
      <c r="G29" s="15"/>
      <c r="H29" s="15"/>
    </row>
    <row r="30" customFormat="false" ht="46.25" hidden="false" customHeight="false" outlineLevel="0" collapsed="false">
      <c r="A30" s="14" t="s">
        <v>620</v>
      </c>
      <c r="B30" s="14" t="s">
        <v>276</v>
      </c>
      <c r="C30" s="14" t="s">
        <v>621</v>
      </c>
      <c r="D30" s="14" t="s">
        <v>622</v>
      </c>
      <c r="E30" s="14" t="s">
        <v>623</v>
      </c>
      <c r="F30" s="14" t="s">
        <v>624</v>
      </c>
      <c r="G30" s="15"/>
      <c r="H30" s="15"/>
    </row>
    <row r="31" customFormat="false" ht="46.25" hidden="false" customHeight="false" outlineLevel="0" collapsed="false">
      <c r="A31" s="14" t="s">
        <v>625</v>
      </c>
      <c r="B31" s="14" t="s">
        <v>626</v>
      </c>
      <c r="C31" s="14" t="s">
        <v>627</v>
      </c>
      <c r="D31" s="14" t="s">
        <v>628</v>
      </c>
      <c r="E31" s="14" t="s">
        <v>629</v>
      </c>
      <c r="F31" s="14" t="s">
        <v>630</v>
      </c>
      <c r="G31" s="15"/>
      <c r="H31" s="15"/>
    </row>
  </sheetData>
  <autoFilter ref="A1:H1"/>
  <dataValidations count="1">
    <dataValidation allowBlank="true" error="Choisir Oui, Non ou À modifier." errorStyle="stop" errorTitle="Décision" operator="between" showDropDown="false" showErrorMessage="true" showInputMessage="false" sqref="G2:G31" type="list">
      <formula1>"Oui,Non,À modifier"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26"/>
    <col collapsed="false" customWidth="true" hidden="false" outlineLevel="0" max="4" min="4" style="0" width="55"/>
    <col collapsed="false" customWidth="true" hidden="false" outlineLevel="0" max="5" min="5" style="0" width="11"/>
    <col collapsed="false" customWidth="true" hidden="false" outlineLevel="0" max="7" min="6" style="0" width="34"/>
    <col collapsed="false" customWidth="true" hidden="false" outlineLevel="0" max="8" min="8" style="0" width="13"/>
    <col collapsed="false" customWidth="true" hidden="false" outlineLevel="0" max="9" min="9" style="0" width="45"/>
  </cols>
  <sheetData>
    <row r="1" customFormat="false" ht="15" hidden="false" customHeight="false" outlineLevel="0" collapsed="false">
      <c r="A1" s="13" t="s">
        <v>42</v>
      </c>
      <c r="B1" s="13" t="s">
        <v>147</v>
      </c>
      <c r="C1" s="13" t="s">
        <v>148</v>
      </c>
      <c r="D1" s="13" t="s">
        <v>149</v>
      </c>
      <c r="E1" s="13" t="s">
        <v>9</v>
      </c>
      <c r="F1" s="13" t="s">
        <v>37</v>
      </c>
      <c r="G1" s="13" t="s">
        <v>39</v>
      </c>
      <c r="H1" s="13" t="s">
        <v>7</v>
      </c>
      <c r="I1" s="13" t="s">
        <v>25</v>
      </c>
    </row>
    <row r="2" customFormat="false" ht="35.05" hidden="false" customHeight="false" outlineLevel="0" collapsed="false">
      <c r="A2" s="14" t="s">
        <v>631</v>
      </c>
      <c r="B2" s="14" t="s">
        <v>632</v>
      </c>
      <c r="C2" s="14" t="s">
        <v>633</v>
      </c>
      <c r="D2" s="14" t="s">
        <v>634</v>
      </c>
      <c r="E2" s="14" t="s">
        <v>635</v>
      </c>
      <c r="F2" s="14" t="s">
        <v>636</v>
      </c>
      <c r="G2" s="14" t="s">
        <v>637</v>
      </c>
      <c r="H2" s="15"/>
      <c r="I2" s="15"/>
    </row>
    <row r="3" customFormat="false" ht="23.85" hidden="false" customHeight="false" outlineLevel="0" collapsed="false">
      <c r="A3" s="14" t="s">
        <v>638</v>
      </c>
      <c r="B3" s="14" t="s">
        <v>639</v>
      </c>
      <c r="C3" s="14" t="s">
        <v>640</v>
      </c>
      <c r="D3" s="14" t="s">
        <v>641</v>
      </c>
      <c r="E3" s="14" t="s">
        <v>635</v>
      </c>
      <c r="F3" s="14" t="s">
        <v>344</v>
      </c>
      <c r="G3" s="14" t="s">
        <v>642</v>
      </c>
      <c r="H3" s="15"/>
      <c r="I3" s="15"/>
    </row>
    <row r="4" customFormat="false" ht="23.85" hidden="false" customHeight="false" outlineLevel="0" collapsed="false">
      <c r="A4" s="14" t="s">
        <v>643</v>
      </c>
      <c r="B4" s="14" t="s">
        <v>644</v>
      </c>
      <c r="C4" s="14" t="s">
        <v>645</v>
      </c>
      <c r="D4" s="14" t="s">
        <v>646</v>
      </c>
      <c r="E4" s="14" t="s">
        <v>647</v>
      </c>
      <c r="F4" s="14" t="s">
        <v>271</v>
      </c>
      <c r="G4" s="14" t="s">
        <v>642</v>
      </c>
      <c r="H4" s="15"/>
      <c r="I4" s="15"/>
    </row>
    <row r="5" customFormat="false" ht="23.85" hidden="false" customHeight="false" outlineLevel="0" collapsed="false">
      <c r="A5" s="14" t="s">
        <v>648</v>
      </c>
      <c r="B5" s="14" t="s">
        <v>649</v>
      </c>
      <c r="C5" s="14" t="s">
        <v>650</v>
      </c>
      <c r="D5" s="14" t="s">
        <v>651</v>
      </c>
      <c r="E5" s="14" t="s">
        <v>635</v>
      </c>
      <c r="F5" s="14" t="s">
        <v>362</v>
      </c>
      <c r="G5" s="14" t="s">
        <v>652</v>
      </c>
      <c r="H5" s="15"/>
      <c r="I5" s="15"/>
    </row>
    <row r="6" customFormat="false" ht="35.05" hidden="false" customHeight="false" outlineLevel="0" collapsed="false">
      <c r="A6" s="14" t="s">
        <v>653</v>
      </c>
      <c r="B6" s="14" t="s">
        <v>654</v>
      </c>
      <c r="C6" s="14" t="s">
        <v>655</v>
      </c>
      <c r="D6" s="14" t="s">
        <v>656</v>
      </c>
      <c r="E6" s="14" t="s">
        <v>635</v>
      </c>
      <c r="F6" s="14" t="s">
        <v>657</v>
      </c>
      <c r="G6" s="14" t="s">
        <v>637</v>
      </c>
      <c r="H6" s="15"/>
      <c r="I6" s="15"/>
    </row>
    <row r="7" customFormat="false" ht="23.85" hidden="false" customHeight="false" outlineLevel="0" collapsed="false">
      <c r="A7" s="14" t="s">
        <v>658</v>
      </c>
      <c r="B7" s="14" t="s">
        <v>659</v>
      </c>
      <c r="C7" s="14" t="s">
        <v>660</v>
      </c>
      <c r="D7" s="14" t="s">
        <v>661</v>
      </c>
      <c r="E7" s="14" t="s">
        <v>662</v>
      </c>
      <c r="F7" s="14" t="s">
        <v>663</v>
      </c>
      <c r="G7" s="14" t="s">
        <v>637</v>
      </c>
      <c r="H7" s="15"/>
      <c r="I7" s="15"/>
    </row>
    <row r="8" customFormat="false" ht="35.05" hidden="false" customHeight="false" outlineLevel="0" collapsed="false">
      <c r="A8" s="14" t="s">
        <v>664</v>
      </c>
      <c r="B8" s="14" t="s">
        <v>665</v>
      </c>
      <c r="C8" s="14" t="s">
        <v>666</v>
      </c>
      <c r="D8" s="14" t="s">
        <v>667</v>
      </c>
      <c r="E8" s="14" t="s">
        <v>647</v>
      </c>
      <c r="F8" s="14" t="s">
        <v>636</v>
      </c>
      <c r="G8" s="14" t="s">
        <v>652</v>
      </c>
      <c r="H8" s="15"/>
      <c r="I8" s="15"/>
    </row>
    <row r="9" customFormat="false" ht="35.05" hidden="false" customHeight="false" outlineLevel="0" collapsed="false">
      <c r="A9" s="14" t="s">
        <v>668</v>
      </c>
      <c r="B9" s="14" t="s">
        <v>669</v>
      </c>
      <c r="C9" s="14" t="s">
        <v>670</v>
      </c>
      <c r="D9" s="14" t="s">
        <v>671</v>
      </c>
      <c r="E9" s="14" t="s">
        <v>635</v>
      </c>
      <c r="F9" s="14" t="s">
        <v>595</v>
      </c>
      <c r="G9" s="14" t="s">
        <v>642</v>
      </c>
      <c r="H9" s="15"/>
      <c r="I9" s="15"/>
    </row>
    <row r="10" customFormat="false" ht="23.85" hidden="false" customHeight="false" outlineLevel="0" collapsed="false">
      <c r="A10" s="14" t="s">
        <v>672</v>
      </c>
      <c r="B10" s="14" t="s">
        <v>673</v>
      </c>
      <c r="C10" s="14" t="s">
        <v>674</v>
      </c>
      <c r="D10" s="14" t="s">
        <v>675</v>
      </c>
      <c r="E10" s="14" t="s">
        <v>635</v>
      </c>
      <c r="F10" s="14" t="s">
        <v>676</v>
      </c>
      <c r="G10" s="14" t="s">
        <v>652</v>
      </c>
      <c r="H10" s="15"/>
      <c r="I10" s="15"/>
    </row>
    <row r="11" customFormat="false" ht="35.05" hidden="false" customHeight="false" outlineLevel="0" collapsed="false">
      <c r="A11" s="14" t="s">
        <v>677</v>
      </c>
      <c r="B11" s="14" t="s">
        <v>678</v>
      </c>
      <c r="C11" s="14" t="s">
        <v>679</v>
      </c>
      <c r="D11" s="14" t="s">
        <v>680</v>
      </c>
      <c r="E11" s="14" t="s">
        <v>635</v>
      </c>
      <c r="F11" s="14" t="s">
        <v>681</v>
      </c>
      <c r="G11" s="14" t="s">
        <v>637</v>
      </c>
      <c r="H11" s="15"/>
      <c r="I11" s="15"/>
    </row>
    <row r="12" customFormat="false" ht="35.05" hidden="false" customHeight="false" outlineLevel="0" collapsed="false">
      <c r="A12" s="14" t="s">
        <v>682</v>
      </c>
      <c r="B12" s="14" t="s">
        <v>683</v>
      </c>
      <c r="C12" s="14" t="s">
        <v>684</v>
      </c>
      <c r="D12" s="14" t="s">
        <v>685</v>
      </c>
      <c r="E12" s="14" t="s">
        <v>686</v>
      </c>
      <c r="F12" s="14" t="s">
        <v>687</v>
      </c>
      <c r="G12" s="14" t="s">
        <v>652</v>
      </c>
      <c r="H12" s="15"/>
      <c r="I12" s="15"/>
    </row>
    <row r="13" customFormat="false" ht="35.05" hidden="false" customHeight="false" outlineLevel="0" collapsed="false">
      <c r="A13" s="14" t="s">
        <v>688</v>
      </c>
      <c r="B13" s="14" t="s">
        <v>689</v>
      </c>
      <c r="C13" s="14" t="s">
        <v>690</v>
      </c>
      <c r="D13" s="14" t="s">
        <v>691</v>
      </c>
      <c r="E13" s="14" t="s">
        <v>686</v>
      </c>
      <c r="F13" s="14" t="s">
        <v>692</v>
      </c>
      <c r="G13" s="14" t="s">
        <v>642</v>
      </c>
      <c r="H13" s="15"/>
      <c r="I13" s="15"/>
    </row>
    <row r="14" customFormat="false" ht="35.05" hidden="false" customHeight="false" outlineLevel="0" collapsed="false">
      <c r="A14" s="14" t="s">
        <v>693</v>
      </c>
      <c r="B14" s="14" t="s">
        <v>694</v>
      </c>
      <c r="C14" s="14" t="s">
        <v>695</v>
      </c>
      <c r="D14" s="14" t="s">
        <v>696</v>
      </c>
      <c r="E14" s="14" t="s">
        <v>662</v>
      </c>
      <c r="F14" s="14" t="s">
        <v>697</v>
      </c>
      <c r="G14" s="14" t="s">
        <v>637</v>
      </c>
      <c r="H14" s="15"/>
      <c r="I14" s="15"/>
    </row>
    <row r="15" customFormat="false" ht="23.85" hidden="false" customHeight="false" outlineLevel="0" collapsed="false">
      <c r="A15" s="14" t="s">
        <v>698</v>
      </c>
      <c r="B15" s="14" t="s">
        <v>699</v>
      </c>
      <c r="C15" s="14" t="s">
        <v>700</v>
      </c>
      <c r="D15" s="14" t="s">
        <v>701</v>
      </c>
      <c r="E15" s="14" t="s">
        <v>647</v>
      </c>
      <c r="F15" s="14" t="s">
        <v>702</v>
      </c>
      <c r="G15" s="14" t="s">
        <v>637</v>
      </c>
      <c r="H15" s="15"/>
      <c r="I15" s="15"/>
    </row>
    <row r="16" customFormat="false" ht="35.05" hidden="false" customHeight="false" outlineLevel="0" collapsed="false">
      <c r="A16" s="14" t="s">
        <v>703</v>
      </c>
      <c r="B16" s="14" t="s">
        <v>704</v>
      </c>
      <c r="C16" s="14" t="s">
        <v>705</v>
      </c>
      <c r="D16" s="14" t="s">
        <v>706</v>
      </c>
      <c r="E16" s="14" t="s">
        <v>686</v>
      </c>
      <c r="F16" s="14" t="s">
        <v>707</v>
      </c>
      <c r="G16" s="14" t="s">
        <v>637</v>
      </c>
      <c r="H16" s="15"/>
      <c r="I16" s="15"/>
    </row>
    <row r="17" customFormat="false" ht="35.05" hidden="false" customHeight="false" outlineLevel="0" collapsed="false">
      <c r="A17" s="14" t="s">
        <v>708</v>
      </c>
      <c r="B17" s="14" t="s">
        <v>709</v>
      </c>
      <c r="C17" s="14" t="s">
        <v>710</v>
      </c>
      <c r="D17" s="14" t="s">
        <v>711</v>
      </c>
      <c r="E17" s="14" t="s">
        <v>635</v>
      </c>
      <c r="F17" s="14" t="s">
        <v>712</v>
      </c>
      <c r="G17" s="14" t="s">
        <v>652</v>
      </c>
      <c r="H17" s="15"/>
      <c r="I17" s="15"/>
    </row>
    <row r="18" customFormat="false" ht="23.85" hidden="false" customHeight="false" outlineLevel="0" collapsed="false">
      <c r="A18" s="14" t="s">
        <v>713</v>
      </c>
      <c r="B18" s="14" t="s">
        <v>714</v>
      </c>
      <c r="C18" s="14" t="s">
        <v>715</v>
      </c>
      <c r="D18" s="14" t="s">
        <v>716</v>
      </c>
      <c r="E18" s="14" t="s">
        <v>662</v>
      </c>
      <c r="F18" s="14" t="s">
        <v>491</v>
      </c>
      <c r="G18" s="14" t="s">
        <v>637</v>
      </c>
      <c r="H18" s="15"/>
      <c r="I18" s="15"/>
    </row>
    <row r="19" customFormat="false" ht="23.85" hidden="false" customHeight="false" outlineLevel="0" collapsed="false">
      <c r="A19" s="14" t="s">
        <v>717</v>
      </c>
      <c r="B19" s="14" t="s">
        <v>718</v>
      </c>
      <c r="C19" s="14" t="s">
        <v>719</v>
      </c>
      <c r="D19" s="14" t="s">
        <v>720</v>
      </c>
      <c r="E19" s="14" t="s">
        <v>686</v>
      </c>
      <c r="F19" s="14" t="s">
        <v>636</v>
      </c>
      <c r="G19" s="14" t="s">
        <v>652</v>
      </c>
      <c r="H19" s="15"/>
      <c r="I19" s="15"/>
    </row>
    <row r="20" customFormat="false" ht="23.85" hidden="false" customHeight="false" outlineLevel="0" collapsed="false">
      <c r="A20" s="14" t="s">
        <v>721</v>
      </c>
      <c r="B20" s="14" t="s">
        <v>722</v>
      </c>
      <c r="C20" s="14" t="s">
        <v>723</v>
      </c>
      <c r="D20" s="14" t="s">
        <v>724</v>
      </c>
      <c r="E20" s="14" t="s">
        <v>662</v>
      </c>
      <c r="F20" s="14" t="s">
        <v>441</v>
      </c>
      <c r="G20" s="14" t="s">
        <v>637</v>
      </c>
      <c r="H20" s="15"/>
      <c r="I20" s="15"/>
    </row>
    <row r="21" customFormat="false" ht="35.05" hidden="false" customHeight="false" outlineLevel="0" collapsed="false">
      <c r="A21" s="14" t="s">
        <v>725</v>
      </c>
      <c r="B21" s="14" t="s">
        <v>726</v>
      </c>
      <c r="C21" s="14" t="s">
        <v>727</v>
      </c>
      <c r="D21" s="14" t="s">
        <v>728</v>
      </c>
      <c r="E21" s="14" t="s">
        <v>662</v>
      </c>
      <c r="F21" s="14" t="s">
        <v>657</v>
      </c>
      <c r="G21" s="14" t="s">
        <v>637</v>
      </c>
      <c r="H21" s="15"/>
      <c r="I21" s="15"/>
    </row>
    <row r="22" customFormat="false" ht="35.05" hidden="false" customHeight="false" outlineLevel="0" collapsed="false">
      <c r="A22" s="14" t="s">
        <v>729</v>
      </c>
      <c r="B22" s="14" t="s">
        <v>730</v>
      </c>
      <c r="C22" s="14" t="s">
        <v>731</v>
      </c>
      <c r="D22" s="14" t="s">
        <v>732</v>
      </c>
      <c r="E22" s="14" t="s">
        <v>662</v>
      </c>
      <c r="F22" s="14" t="s">
        <v>733</v>
      </c>
      <c r="G22" s="14" t="s">
        <v>652</v>
      </c>
      <c r="H22" s="15"/>
      <c r="I22" s="15"/>
    </row>
    <row r="23" customFormat="false" ht="35.05" hidden="false" customHeight="false" outlineLevel="0" collapsed="false">
      <c r="A23" s="14" t="s">
        <v>734</v>
      </c>
      <c r="B23" s="14" t="s">
        <v>735</v>
      </c>
      <c r="C23" s="14" t="s">
        <v>736</v>
      </c>
      <c r="D23" s="14" t="s">
        <v>737</v>
      </c>
      <c r="E23" s="14" t="s">
        <v>635</v>
      </c>
      <c r="F23" s="14" t="s">
        <v>738</v>
      </c>
      <c r="G23" s="14" t="s">
        <v>637</v>
      </c>
      <c r="H23" s="15"/>
      <c r="I23" s="15"/>
    </row>
    <row r="24" customFormat="false" ht="23.85" hidden="false" customHeight="false" outlineLevel="0" collapsed="false">
      <c r="A24" s="14" t="s">
        <v>739</v>
      </c>
      <c r="B24" s="14" t="s">
        <v>740</v>
      </c>
      <c r="C24" s="14" t="s">
        <v>741</v>
      </c>
      <c r="D24" s="14" t="s">
        <v>742</v>
      </c>
      <c r="E24" s="14" t="s">
        <v>635</v>
      </c>
      <c r="F24" s="14" t="s">
        <v>286</v>
      </c>
      <c r="G24" s="14" t="s">
        <v>642</v>
      </c>
      <c r="H24" s="15"/>
      <c r="I24" s="15"/>
    </row>
    <row r="25" customFormat="false" ht="23.85" hidden="false" customHeight="false" outlineLevel="0" collapsed="false">
      <c r="A25" s="14" t="s">
        <v>743</v>
      </c>
      <c r="B25" s="14" t="s">
        <v>744</v>
      </c>
      <c r="C25" s="14" t="s">
        <v>745</v>
      </c>
      <c r="D25" s="14" t="s">
        <v>746</v>
      </c>
      <c r="E25" s="14" t="s">
        <v>662</v>
      </c>
      <c r="F25" s="14" t="s">
        <v>204</v>
      </c>
      <c r="G25" s="14" t="s">
        <v>652</v>
      </c>
      <c r="H25" s="15"/>
      <c r="I25" s="15"/>
    </row>
    <row r="26" customFormat="false" ht="23.85" hidden="false" customHeight="false" outlineLevel="0" collapsed="false">
      <c r="A26" s="14" t="s">
        <v>747</v>
      </c>
      <c r="B26" s="14" t="s">
        <v>748</v>
      </c>
      <c r="C26" s="14" t="s">
        <v>749</v>
      </c>
      <c r="D26" s="14" t="s">
        <v>750</v>
      </c>
      <c r="E26" s="14" t="s">
        <v>647</v>
      </c>
      <c r="F26" s="14" t="s">
        <v>751</v>
      </c>
      <c r="G26" s="14" t="s">
        <v>652</v>
      </c>
      <c r="H26" s="15"/>
      <c r="I26" s="15"/>
    </row>
    <row r="27" customFormat="false" ht="35.05" hidden="false" customHeight="false" outlineLevel="0" collapsed="false">
      <c r="A27" s="14" t="s">
        <v>752</v>
      </c>
      <c r="B27" s="14" t="s">
        <v>522</v>
      </c>
      <c r="C27" s="14" t="s">
        <v>753</v>
      </c>
      <c r="D27" s="14" t="s">
        <v>754</v>
      </c>
      <c r="E27" s="14" t="s">
        <v>686</v>
      </c>
      <c r="F27" s="14" t="s">
        <v>755</v>
      </c>
      <c r="G27" s="14" t="s">
        <v>652</v>
      </c>
      <c r="H27" s="15"/>
      <c r="I27" s="15"/>
    </row>
    <row r="28" customFormat="false" ht="35.05" hidden="false" customHeight="false" outlineLevel="0" collapsed="false">
      <c r="A28" s="14" t="s">
        <v>756</v>
      </c>
      <c r="B28" s="14" t="s">
        <v>578</v>
      </c>
      <c r="C28" s="14" t="s">
        <v>757</v>
      </c>
      <c r="D28" s="14" t="s">
        <v>758</v>
      </c>
      <c r="E28" s="14" t="s">
        <v>635</v>
      </c>
      <c r="F28" s="14" t="s">
        <v>759</v>
      </c>
      <c r="G28" s="14" t="s">
        <v>652</v>
      </c>
      <c r="H28" s="15"/>
      <c r="I28" s="15"/>
    </row>
    <row r="29" customFormat="false" ht="35.05" hidden="false" customHeight="false" outlineLevel="0" collapsed="false">
      <c r="A29" s="14" t="s">
        <v>760</v>
      </c>
      <c r="B29" s="14" t="s">
        <v>761</v>
      </c>
      <c r="C29" s="14" t="s">
        <v>762</v>
      </c>
      <c r="D29" s="14" t="s">
        <v>763</v>
      </c>
      <c r="E29" s="14" t="s">
        <v>635</v>
      </c>
      <c r="F29" s="14" t="s">
        <v>764</v>
      </c>
      <c r="G29" s="14" t="s">
        <v>637</v>
      </c>
      <c r="H29" s="15"/>
      <c r="I29" s="15"/>
    </row>
    <row r="30" customFormat="false" ht="35.05" hidden="false" customHeight="false" outlineLevel="0" collapsed="false">
      <c r="A30" s="14" t="s">
        <v>765</v>
      </c>
      <c r="B30" s="14" t="s">
        <v>766</v>
      </c>
      <c r="C30" s="14" t="s">
        <v>767</v>
      </c>
      <c r="D30" s="14" t="s">
        <v>768</v>
      </c>
      <c r="E30" s="14" t="s">
        <v>662</v>
      </c>
      <c r="F30" s="14" t="s">
        <v>769</v>
      </c>
      <c r="G30" s="14" t="s">
        <v>637</v>
      </c>
      <c r="H30" s="15"/>
      <c r="I30" s="15"/>
    </row>
    <row r="31" customFormat="false" ht="35.05" hidden="false" customHeight="false" outlineLevel="0" collapsed="false">
      <c r="A31" s="14" t="s">
        <v>770</v>
      </c>
      <c r="B31" s="14" t="s">
        <v>505</v>
      </c>
      <c r="C31" s="14" t="s">
        <v>771</v>
      </c>
      <c r="D31" s="14" t="s">
        <v>772</v>
      </c>
      <c r="E31" s="14" t="s">
        <v>635</v>
      </c>
      <c r="F31" s="14" t="s">
        <v>324</v>
      </c>
      <c r="G31" s="14" t="s">
        <v>637</v>
      </c>
      <c r="H31" s="15"/>
      <c r="I31" s="15"/>
    </row>
    <row r="32" customFormat="false" ht="35.05" hidden="false" customHeight="false" outlineLevel="0" collapsed="false">
      <c r="A32" s="14" t="s">
        <v>773</v>
      </c>
      <c r="B32" s="14" t="s">
        <v>537</v>
      </c>
      <c r="C32" s="14" t="s">
        <v>774</v>
      </c>
      <c r="D32" s="14" t="s">
        <v>775</v>
      </c>
      <c r="E32" s="14" t="s">
        <v>647</v>
      </c>
      <c r="F32" s="14" t="s">
        <v>776</v>
      </c>
      <c r="G32" s="14" t="s">
        <v>642</v>
      </c>
      <c r="H32" s="15"/>
      <c r="I32" s="15"/>
    </row>
    <row r="33" customFormat="false" ht="23.85" hidden="false" customHeight="false" outlineLevel="0" collapsed="false">
      <c r="A33" s="14" t="s">
        <v>777</v>
      </c>
      <c r="B33" s="14" t="s">
        <v>778</v>
      </c>
      <c r="C33" s="14" t="s">
        <v>779</v>
      </c>
      <c r="D33" s="14" t="s">
        <v>780</v>
      </c>
      <c r="E33" s="14" t="s">
        <v>635</v>
      </c>
      <c r="F33" s="14" t="s">
        <v>781</v>
      </c>
      <c r="G33" s="14" t="s">
        <v>637</v>
      </c>
      <c r="H33" s="15"/>
      <c r="I33" s="15"/>
    </row>
    <row r="34" customFormat="false" ht="35.05" hidden="false" customHeight="false" outlineLevel="0" collapsed="false">
      <c r="A34" s="14" t="s">
        <v>782</v>
      </c>
      <c r="B34" s="14" t="s">
        <v>588</v>
      </c>
      <c r="C34" s="14" t="s">
        <v>783</v>
      </c>
      <c r="D34" s="14" t="s">
        <v>784</v>
      </c>
      <c r="E34" s="14" t="s">
        <v>647</v>
      </c>
      <c r="F34" s="14" t="s">
        <v>785</v>
      </c>
      <c r="G34" s="14" t="s">
        <v>652</v>
      </c>
      <c r="H34" s="15"/>
      <c r="I34" s="15"/>
    </row>
    <row r="35" customFormat="false" ht="35.05" hidden="false" customHeight="false" outlineLevel="0" collapsed="false">
      <c r="A35" s="14" t="s">
        <v>786</v>
      </c>
      <c r="B35" s="14" t="s">
        <v>787</v>
      </c>
      <c r="C35" s="14" t="s">
        <v>788</v>
      </c>
      <c r="D35" s="14" t="s">
        <v>789</v>
      </c>
      <c r="E35" s="14" t="s">
        <v>635</v>
      </c>
      <c r="F35" s="14" t="s">
        <v>769</v>
      </c>
      <c r="G35" s="14" t="s">
        <v>637</v>
      </c>
      <c r="H35" s="15"/>
      <c r="I35" s="15"/>
    </row>
    <row r="36" customFormat="false" ht="23.85" hidden="false" customHeight="false" outlineLevel="0" collapsed="false">
      <c r="A36" s="14" t="s">
        <v>790</v>
      </c>
      <c r="B36" s="14" t="s">
        <v>609</v>
      </c>
      <c r="C36" s="14" t="s">
        <v>791</v>
      </c>
      <c r="D36" s="14" t="s">
        <v>792</v>
      </c>
      <c r="E36" s="14" t="s">
        <v>662</v>
      </c>
      <c r="F36" s="14" t="s">
        <v>793</v>
      </c>
      <c r="G36" s="14" t="s">
        <v>652</v>
      </c>
      <c r="H36" s="15"/>
      <c r="I36" s="15"/>
    </row>
    <row r="37" customFormat="false" ht="23.85" hidden="false" customHeight="false" outlineLevel="0" collapsed="false">
      <c r="A37" s="14" t="s">
        <v>794</v>
      </c>
      <c r="B37" s="14" t="s">
        <v>795</v>
      </c>
      <c r="C37" s="14" t="s">
        <v>796</v>
      </c>
      <c r="D37" s="14" t="s">
        <v>797</v>
      </c>
      <c r="E37" s="14" t="s">
        <v>662</v>
      </c>
      <c r="F37" s="14" t="s">
        <v>798</v>
      </c>
      <c r="G37" s="14" t="s">
        <v>652</v>
      </c>
      <c r="H37" s="15"/>
      <c r="I37" s="15"/>
    </row>
    <row r="38" customFormat="false" ht="57.45" hidden="false" customHeight="false" outlineLevel="0" collapsed="false">
      <c r="A38" s="14" t="s">
        <v>799</v>
      </c>
      <c r="B38" s="14" t="s">
        <v>800</v>
      </c>
      <c r="C38" s="14" t="s">
        <v>801</v>
      </c>
      <c r="D38" s="14" t="s">
        <v>802</v>
      </c>
      <c r="E38" s="14" t="s">
        <v>686</v>
      </c>
      <c r="F38" s="14" t="s">
        <v>803</v>
      </c>
      <c r="G38" s="14" t="s">
        <v>652</v>
      </c>
      <c r="H38" s="15"/>
      <c r="I38" s="15"/>
    </row>
    <row r="39" customFormat="false" ht="35.05" hidden="false" customHeight="false" outlineLevel="0" collapsed="false">
      <c r="A39" s="14" t="s">
        <v>804</v>
      </c>
      <c r="B39" s="14" t="s">
        <v>805</v>
      </c>
      <c r="C39" s="14" t="s">
        <v>806</v>
      </c>
      <c r="D39" s="14" t="s">
        <v>807</v>
      </c>
      <c r="E39" s="14" t="s">
        <v>662</v>
      </c>
      <c r="F39" s="14" t="s">
        <v>436</v>
      </c>
      <c r="G39" s="14" t="s">
        <v>637</v>
      </c>
      <c r="H39" s="15"/>
      <c r="I39" s="15"/>
    </row>
    <row r="40" customFormat="false" ht="23.85" hidden="false" customHeight="false" outlineLevel="0" collapsed="false">
      <c r="A40" s="14" t="s">
        <v>808</v>
      </c>
      <c r="B40" s="14" t="s">
        <v>809</v>
      </c>
      <c r="C40" s="14" t="s">
        <v>810</v>
      </c>
      <c r="D40" s="14" t="s">
        <v>811</v>
      </c>
      <c r="E40" s="14" t="s">
        <v>686</v>
      </c>
      <c r="F40" s="14" t="s">
        <v>812</v>
      </c>
      <c r="G40" s="14" t="s">
        <v>652</v>
      </c>
      <c r="H40" s="15"/>
      <c r="I40" s="15"/>
    </row>
    <row r="41" customFormat="false" ht="23.85" hidden="false" customHeight="false" outlineLevel="0" collapsed="false">
      <c r="A41" s="14" t="s">
        <v>813</v>
      </c>
      <c r="B41" s="14" t="s">
        <v>542</v>
      </c>
      <c r="C41" s="14" t="s">
        <v>814</v>
      </c>
      <c r="D41" s="14" t="s">
        <v>815</v>
      </c>
      <c r="E41" s="14" t="s">
        <v>686</v>
      </c>
      <c r="F41" s="14" t="s">
        <v>816</v>
      </c>
      <c r="G41" s="14" t="s">
        <v>652</v>
      </c>
      <c r="H41" s="15"/>
      <c r="I41" s="15"/>
    </row>
    <row r="42" customFormat="false" ht="35.05" hidden="false" customHeight="false" outlineLevel="0" collapsed="false">
      <c r="A42" s="14" t="s">
        <v>817</v>
      </c>
      <c r="B42" s="14" t="s">
        <v>818</v>
      </c>
      <c r="C42" s="14" t="s">
        <v>819</v>
      </c>
      <c r="D42" s="14" t="s">
        <v>820</v>
      </c>
      <c r="E42" s="14" t="s">
        <v>647</v>
      </c>
      <c r="F42" s="14" t="s">
        <v>271</v>
      </c>
      <c r="G42" s="14" t="s">
        <v>642</v>
      </c>
      <c r="H42" s="15"/>
      <c r="I42" s="15"/>
    </row>
    <row r="43" customFormat="false" ht="35.05" hidden="false" customHeight="false" outlineLevel="0" collapsed="false">
      <c r="A43" s="14" t="s">
        <v>821</v>
      </c>
      <c r="B43" s="14" t="s">
        <v>822</v>
      </c>
      <c r="C43" s="14" t="s">
        <v>823</v>
      </c>
      <c r="D43" s="14" t="s">
        <v>824</v>
      </c>
      <c r="E43" s="14" t="s">
        <v>647</v>
      </c>
      <c r="F43" s="14" t="s">
        <v>825</v>
      </c>
      <c r="G43" s="14" t="s">
        <v>637</v>
      </c>
      <c r="H43" s="15"/>
      <c r="I43" s="15"/>
    </row>
    <row r="44" customFormat="false" ht="35.05" hidden="false" customHeight="false" outlineLevel="0" collapsed="false">
      <c r="A44" s="14" t="s">
        <v>826</v>
      </c>
      <c r="B44" s="14" t="s">
        <v>827</v>
      </c>
      <c r="C44" s="14" t="s">
        <v>828</v>
      </c>
      <c r="D44" s="14" t="s">
        <v>829</v>
      </c>
      <c r="E44" s="14" t="s">
        <v>686</v>
      </c>
      <c r="F44" s="14" t="s">
        <v>663</v>
      </c>
      <c r="G44" s="14" t="s">
        <v>642</v>
      </c>
      <c r="H44" s="15"/>
      <c r="I44" s="15"/>
    </row>
    <row r="45" customFormat="false" ht="57.45" hidden="false" customHeight="false" outlineLevel="0" collapsed="false">
      <c r="A45" s="14" t="s">
        <v>830</v>
      </c>
      <c r="B45" s="14" t="s">
        <v>831</v>
      </c>
      <c r="C45" s="14" t="s">
        <v>832</v>
      </c>
      <c r="D45" s="14" t="s">
        <v>833</v>
      </c>
      <c r="E45" s="14" t="s">
        <v>686</v>
      </c>
      <c r="F45" s="14" t="s">
        <v>834</v>
      </c>
      <c r="G45" s="14" t="s">
        <v>652</v>
      </c>
      <c r="H45" s="15"/>
      <c r="I45" s="15"/>
    </row>
    <row r="46" customFormat="false" ht="35.05" hidden="false" customHeight="false" outlineLevel="0" collapsed="false">
      <c r="A46" s="14" t="s">
        <v>835</v>
      </c>
      <c r="B46" s="14" t="s">
        <v>624</v>
      </c>
      <c r="C46" s="14" t="s">
        <v>836</v>
      </c>
      <c r="D46" s="14" t="s">
        <v>837</v>
      </c>
      <c r="E46" s="14" t="s">
        <v>635</v>
      </c>
      <c r="F46" s="14" t="s">
        <v>222</v>
      </c>
      <c r="G46" s="14" t="s">
        <v>637</v>
      </c>
      <c r="H46" s="15"/>
      <c r="I46" s="15"/>
    </row>
    <row r="47" customFormat="false" ht="35.05" hidden="false" customHeight="false" outlineLevel="0" collapsed="false">
      <c r="A47" s="14" t="s">
        <v>838</v>
      </c>
      <c r="B47" s="14" t="s">
        <v>839</v>
      </c>
      <c r="C47" s="14" t="s">
        <v>840</v>
      </c>
      <c r="D47" s="14" t="s">
        <v>841</v>
      </c>
      <c r="E47" s="14" t="s">
        <v>635</v>
      </c>
      <c r="F47" s="14" t="s">
        <v>842</v>
      </c>
      <c r="G47" s="14" t="s">
        <v>637</v>
      </c>
      <c r="H47" s="15"/>
      <c r="I47" s="15"/>
    </row>
    <row r="48" customFormat="false" ht="23.85" hidden="false" customHeight="false" outlineLevel="0" collapsed="false">
      <c r="A48" s="14" t="s">
        <v>843</v>
      </c>
      <c r="B48" s="14" t="s">
        <v>844</v>
      </c>
      <c r="C48" s="14" t="s">
        <v>845</v>
      </c>
      <c r="D48" s="14" t="s">
        <v>846</v>
      </c>
      <c r="E48" s="14" t="s">
        <v>662</v>
      </c>
      <c r="F48" s="14" t="s">
        <v>204</v>
      </c>
      <c r="G48" s="14" t="s">
        <v>652</v>
      </c>
      <c r="H48" s="15"/>
      <c r="I48" s="15"/>
    </row>
    <row r="49" customFormat="false" ht="23.85" hidden="false" customHeight="false" outlineLevel="0" collapsed="false">
      <c r="A49" s="14" t="s">
        <v>847</v>
      </c>
      <c r="B49" s="14" t="s">
        <v>848</v>
      </c>
      <c r="C49" s="14" t="s">
        <v>849</v>
      </c>
      <c r="D49" s="14" t="s">
        <v>850</v>
      </c>
      <c r="E49" s="14" t="s">
        <v>635</v>
      </c>
      <c r="F49" s="14" t="s">
        <v>180</v>
      </c>
      <c r="G49" s="14" t="s">
        <v>637</v>
      </c>
      <c r="H49" s="15"/>
      <c r="I49" s="15"/>
    </row>
    <row r="50" customFormat="false" ht="46.25" hidden="false" customHeight="false" outlineLevel="0" collapsed="false">
      <c r="A50" s="14" t="s">
        <v>851</v>
      </c>
      <c r="B50" s="14" t="s">
        <v>852</v>
      </c>
      <c r="C50" s="14" t="s">
        <v>853</v>
      </c>
      <c r="D50" s="14" t="s">
        <v>854</v>
      </c>
      <c r="E50" s="14" t="s">
        <v>647</v>
      </c>
      <c r="F50" s="14" t="s">
        <v>855</v>
      </c>
      <c r="G50" s="14" t="s">
        <v>637</v>
      </c>
      <c r="H50" s="15"/>
      <c r="I50" s="15"/>
    </row>
    <row r="51" customFormat="false" ht="46.25" hidden="false" customHeight="false" outlineLevel="0" collapsed="false">
      <c r="A51" s="14" t="s">
        <v>856</v>
      </c>
      <c r="B51" s="14" t="s">
        <v>857</v>
      </c>
      <c r="C51" s="14" t="s">
        <v>858</v>
      </c>
      <c r="D51" s="14" t="s">
        <v>859</v>
      </c>
      <c r="E51" s="14" t="s">
        <v>686</v>
      </c>
      <c r="F51" s="14" t="s">
        <v>860</v>
      </c>
      <c r="G51" s="14" t="s">
        <v>652</v>
      </c>
      <c r="H51" s="15"/>
      <c r="I51" s="15"/>
    </row>
    <row r="52" customFormat="false" ht="35.05" hidden="false" customHeight="false" outlineLevel="0" collapsed="false">
      <c r="A52" s="14" t="s">
        <v>861</v>
      </c>
      <c r="B52" s="14" t="s">
        <v>862</v>
      </c>
      <c r="C52" s="14" t="s">
        <v>863</v>
      </c>
      <c r="D52" s="14" t="s">
        <v>864</v>
      </c>
      <c r="E52" s="14" t="s">
        <v>647</v>
      </c>
      <c r="F52" s="14" t="s">
        <v>194</v>
      </c>
      <c r="G52" s="14" t="s">
        <v>652</v>
      </c>
      <c r="H52" s="15"/>
      <c r="I52" s="15"/>
    </row>
    <row r="53" customFormat="false" ht="35.05" hidden="false" customHeight="false" outlineLevel="0" collapsed="false">
      <c r="A53" s="14" t="s">
        <v>865</v>
      </c>
      <c r="B53" s="14" t="s">
        <v>866</v>
      </c>
      <c r="C53" s="14" t="s">
        <v>867</v>
      </c>
      <c r="D53" s="14" t="s">
        <v>868</v>
      </c>
      <c r="E53" s="14" t="s">
        <v>647</v>
      </c>
      <c r="F53" s="14" t="s">
        <v>869</v>
      </c>
      <c r="G53" s="14" t="s">
        <v>652</v>
      </c>
      <c r="H53" s="15"/>
      <c r="I53" s="15"/>
    </row>
    <row r="54" customFormat="false" ht="35.05" hidden="false" customHeight="false" outlineLevel="0" collapsed="false">
      <c r="A54" s="14" t="s">
        <v>870</v>
      </c>
      <c r="B54" s="14" t="s">
        <v>871</v>
      </c>
      <c r="C54" s="14" t="s">
        <v>872</v>
      </c>
      <c r="D54" s="14" t="s">
        <v>873</v>
      </c>
      <c r="E54" s="14" t="s">
        <v>635</v>
      </c>
      <c r="F54" s="14" t="s">
        <v>436</v>
      </c>
      <c r="G54" s="14" t="s">
        <v>637</v>
      </c>
      <c r="H54" s="15"/>
      <c r="I54" s="15"/>
    </row>
    <row r="55" customFormat="false" ht="23.85" hidden="false" customHeight="false" outlineLevel="0" collapsed="false">
      <c r="A55" s="14" t="s">
        <v>874</v>
      </c>
      <c r="B55" s="14" t="s">
        <v>875</v>
      </c>
      <c r="C55" s="14" t="s">
        <v>876</v>
      </c>
      <c r="D55" s="14" t="s">
        <v>877</v>
      </c>
      <c r="E55" s="14" t="s">
        <v>662</v>
      </c>
      <c r="F55" s="14" t="s">
        <v>878</v>
      </c>
      <c r="G55" s="14" t="s">
        <v>652</v>
      </c>
      <c r="H55" s="15"/>
      <c r="I55" s="15"/>
    </row>
  </sheetData>
  <autoFilter ref="A1:I1"/>
  <dataValidations count="1">
    <dataValidation allowBlank="true" error="Choisir Oui, Non ou À modifier." errorStyle="stop" errorTitle="Décision" operator="between" showDropDown="false" showErrorMessage="true" showInputMessage="false" sqref="H2:H55" type="list">
      <formula1>"Oui,Non,À modifier"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26"/>
    <col collapsed="false" customWidth="true" hidden="false" outlineLevel="0" max="4" min="4" style="0" width="55"/>
    <col collapsed="false" customWidth="true" hidden="false" outlineLevel="0" max="5" min="5" style="0" width="34"/>
    <col collapsed="false" customWidth="true" hidden="false" outlineLevel="0" max="6" min="6" style="0" width="13"/>
    <col collapsed="false" customWidth="true" hidden="false" outlineLevel="0" max="7" min="7" style="0" width="45"/>
  </cols>
  <sheetData>
    <row r="1" customFormat="false" ht="15" hidden="false" customHeight="false" outlineLevel="0" collapsed="false">
      <c r="A1" s="13" t="s">
        <v>42</v>
      </c>
      <c r="B1" s="13" t="s">
        <v>147</v>
      </c>
      <c r="C1" s="13" t="s">
        <v>148</v>
      </c>
      <c r="D1" s="13" t="s">
        <v>149</v>
      </c>
      <c r="E1" s="13" t="s">
        <v>38</v>
      </c>
      <c r="F1" s="13" t="s">
        <v>7</v>
      </c>
      <c r="G1" s="13" t="s">
        <v>25</v>
      </c>
    </row>
    <row r="2" customFormat="false" ht="516.4" hidden="false" customHeight="false" outlineLevel="0" collapsed="false">
      <c r="A2" s="14" t="s">
        <v>879</v>
      </c>
      <c r="B2" s="14" t="s">
        <v>637</v>
      </c>
      <c r="C2" s="14"/>
      <c r="D2" s="14" t="s">
        <v>880</v>
      </c>
      <c r="E2" s="14" t="s">
        <v>881</v>
      </c>
      <c r="F2" s="15"/>
      <c r="G2" s="15"/>
    </row>
    <row r="3" customFormat="false" ht="348.5" hidden="false" customHeight="false" outlineLevel="0" collapsed="false">
      <c r="A3" s="14" t="s">
        <v>882</v>
      </c>
      <c r="B3" s="14" t="s">
        <v>642</v>
      </c>
      <c r="C3" s="14"/>
      <c r="D3" s="14" t="s">
        <v>883</v>
      </c>
      <c r="E3" s="14" t="s">
        <v>884</v>
      </c>
      <c r="F3" s="15"/>
      <c r="G3" s="15"/>
    </row>
  </sheetData>
  <autoFilter ref="A1:G1"/>
  <dataValidations count="1">
    <dataValidation allowBlank="true" error="Choisir Oui, Non ou À modifier." errorStyle="stop" errorTitle="Décision" operator="between" showDropDown="false" showErrorMessage="true" showInputMessage="false" sqref="F2:F3" type="list">
      <formula1>"Oui,Non,À modifier"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2026-10-16T02:46:31Z</dcterms:created>
  <dc:creator>openpyxl</dc:creator>
  <dc:description/>
  <dc:language>en-US</dc:language>
  <cp:lastModifiedBy/>
  <dcterms:modified xsi:type="dcterms:W3CDTF">2026-10-16T02:46:31Z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